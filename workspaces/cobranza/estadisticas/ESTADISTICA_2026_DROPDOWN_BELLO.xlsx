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UÍA KPIs" sheetId="2" state="visible" r:id="rId2"/>
    <sheet xmlns:r="http://schemas.openxmlformats.org/officeDocument/2006/relationships" name="ESTADISTICA 2026" sheetId="3" state="visible" r:id="rId3"/>
  </sheets>
  <definedNames>
    <definedName name="_xlnm.Print_Titles" localSheetId="2">'ESTADISTICA 2026'!$1:$3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$#,##0.00"/>
    <numFmt numFmtId="167" formatCode="$#,##0"/>
  </numFmts>
  <fonts count="101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2"/>
    </font>
    <font>
      <name val="Calibri"/>
      <color rgb="00C9A84C"/>
      <sz val="11"/>
    </font>
    <font>
      <name val="Calibri"/>
      <b val="1"/>
      <color rgb="00C9A84C"/>
      <sz val="12"/>
    </font>
    <font>
      <name val="Calibri"/>
      <b val="1"/>
      <color rgb="001A1A1A"/>
      <sz val="9"/>
    </font>
    <font>
      <name val="Calibri"/>
      <b val="1"/>
      <color rgb="00C9A84C"/>
      <sz val="10"/>
    </font>
    <font>
      <name val="Calibri"/>
      <b val="1"/>
      <color rgb="00404040"/>
      <sz val="10"/>
    </font>
    <font>
      <name val="Calibri"/>
      <b val="1"/>
      <color rgb="001A1A1A"/>
      <sz val="10"/>
    </font>
    <font>
      <name val="Calibri"/>
      <color rgb="00404040"/>
      <sz val="10"/>
    </font>
    <font>
      <name val="Calibri"/>
      <b val="1"/>
      <color rgb="001A1A1A"/>
      <sz val="11"/>
    </font>
    <font>
      <name val="Calibri"/>
      <b val="1"/>
      <color rgb="00404040"/>
      <sz val="9"/>
    </font>
    <font>
      <name val="Calibri"/>
      <color rgb="00404040"/>
      <sz val="9"/>
    </font>
    <font>
      <name val="Calibri"/>
      <b val="1"/>
      <color rgb="00C9A84C"/>
      <sz val="13"/>
    </font>
    <font>
      <name val="Calibri"/>
      <b val="1"/>
      <color rgb="00FFFFFF"/>
      <sz val="9"/>
    </font>
    <font>
      <b val="1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b val="1"/>
      <color rgb="00000000"/>
      <sz val="11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b val="1"/>
      <color rgb="00375623"/>
      <sz val="11"/>
    </font>
    <font>
      <name val="Calibri"/>
      <i val="1"/>
      <color rgb="00375623"/>
      <sz val="9"/>
    </font>
    <font>
      <name val="Calibri"/>
      <b val="1"/>
      <color rgb="00C00000"/>
      <sz val="11"/>
    </font>
    <font>
      <name val="Calibri"/>
      <i val="1"/>
      <color rgb="00C00000"/>
      <sz val="9"/>
    </font>
    <font>
      <name val="Calibri"/>
      <b val="1"/>
      <color rgb="00FF8C00"/>
      <sz val="11"/>
    </font>
    <font>
      <name val="Calibri"/>
      <i val="1"/>
      <color rgb="00FF8C00"/>
      <sz val="9"/>
    </font>
    <font>
      <name val="Calibri"/>
      <b val="1"/>
      <color rgb="00F2F2F2"/>
      <sz val="11"/>
    </font>
    <font>
      <name val="Calibri"/>
      <i val="1"/>
      <color rgb="00F2F2F2"/>
      <sz val="9"/>
    </font>
    <font>
      <name val="Calibri"/>
      <i val="1"/>
      <color rgb="00FFFFFF"/>
      <sz val="9"/>
    </font>
    <font>
      <name val="Calibri"/>
      <color rgb="00000000"/>
      <sz val="10"/>
    </font>
    <font>
      <name val="Calibri"/>
      <b val="1"/>
      <color rgb="00C9A227"/>
      <sz val="20"/>
    </font>
    <font>
      <name val="Calibri"/>
      <b val="1"/>
      <color rgb="00FFFFFF"/>
      <sz val="13"/>
    </font>
    <font>
      <name val="Calibri"/>
      <b val="1"/>
      <color rgb="00FFD966"/>
      <sz val="11"/>
    </font>
    <font>
      <name val="Calibri"/>
      <b val="1"/>
      <color rgb="00000000"/>
      <sz val="15"/>
    </font>
    <font>
      <name val="Calibri"/>
      <i val="1"/>
      <color rgb="00808080"/>
      <sz val="8"/>
    </font>
    <font>
      <name val="Calibri"/>
      <b val="1"/>
      <color rgb="00C00000"/>
      <sz val="15"/>
    </font>
    <font>
      <name val="Calibri"/>
      <b val="1"/>
      <color rgb="00FF8C00"/>
      <sz val="15"/>
    </font>
    <font>
      <name val="Calibri"/>
      <b val="1"/>
      <color rgb="00375623"/>
      <sz val="15"/>
    </font>
    <font>
      <name val="Calibri"/>
      <b val="1"/>
      <color rgb="002E5FA3"/>
      <sz val="15"/>
    </font>
    <font>
      <name val="Calibri"/>
      <b val="1"/>
      <color rgb="00808080"/>
      <sz val="15"/>
    </font>
    <font>
      <name val="Calibri"/>
      <b val="1"/>
      <sz val="10"/>
    </font>
    <font>
      <name val="Calibri"/>
      <b val="1"/>
      <color rgb="00375623"/>
      <sz val="12"/>
    </font>
    <font>
      <name val="Calibri"/>
      <b val="1"/>
      <color rgb="00C00000"/>
      <sz val="12"/>
    </font>
    <font>
      <name val="Calibri"/>
      <b val="1"/>
      <color rgb="00FF8C00"/>
      <sz val="12"/>
    </font>
    <font>
      <name val="Calibri"/>
      <b val="1"/>
      <color rgb="00808080"/>
      <sz val="12"/>
    </font>
    <font>
      <name val="Calibri"/>
      <i val="1"/>
      <color rgb="00808080"/>
      <sz val="9"/>
    </font>
    <font>
      <name val="Calibri"/>
      <i val="1"/>
      <color rgb="00FFD966"/>
      <sz val="9"/>
    </font>
    <font>
      <name val="Calibri"/>
      <b val="1"/>
      <color rgb="00FFFFFF"/>
      <sz val="8"/>
    </font>
    <font>
      <name val="Calibri"/>
      <b val="1"/>
      <sz val="9"/>
    </font>
    <font>
      <name val="Calibri"/>
      <b val="1"/>
      <color rgb="001F3864"/>
      <sz val="9"/>
    </font>
    <font>
      <name val="Calibri"/>
      <sz val="9"/>
    </font>
    <font>
      <name val="Calibri"/>
      <sz val="10"/>
    </font>
    <font>
      <name val="Calibri"/>
      <color rgb="00FFD966"/>
      <sz val="8"/>
    </font>
    <font>
      <name val="Calibri"/>
      <i val="1"/>
      <color rgb="001F3864"/>
      <sz val="9"/>
    </font>
    <font>
      <name val="Calibri"/>
      <b val="1"/>
      <color rgb="002E5FA3"/>
      <sz val="12"/>
    </font>
    <font>
      <name val="Calibri"/>
      <i val="1"/>
      <color rgb="002E5FA3"/>
      <sz val="9"/>
    </font>
    <font>
      <name val="Calibri"/>
      <b val="1"/>
      <color rgb="00C9A227"/>
      <sz val="18"/>
    </font>
    <font>
      <name val="Calibri"/>
      <i val="1"/>
      <color rgb="00808080"/>
      <sz val="10"/>
    </font>
    <font>
      <name val="Calibri"/>
      <b val="1"/>
      <color rgb="001F3864"/>
      <sz val="10"/>
    </font>
    <font>
      <name val="Calibri"/>
      <color rgb="00000000"/>
      <sz val="9"/>
    </font>
    <font>
      <name val="Calibri"/>
      <color rgb="00808080"/>
      <sz val="8"/>
    </font>
    <font>
      <name val="Calibri"/>
      <b val="1"/>
      <color rgb="00000000"/>
      <sz val="14"/>
    </font>
    <font>
      <name val="Calibri"/>
      <b val="1"/>
      <color rgb="002E5FA3"/>
      <sz val="14"/>
    </font>
    <font>
      <name val="Calibri"/>
      <b val="1"/>
      <color rgb="00375623"/>
      <sz val="14"/>
    </font>
    <font>
      <name val="Calibri"/>
      <b val="1"/>
      <color rgb="00C00000"/>
      <sz val="14"/>
    </font>
    <font>
      <name val="Calibri"/>
      <b val="1"/>
      <color rgb="00FF8C00"/>
      <sz val="14"/>
    </font>
    <font>
      <name val="Calibri"/>
      <b val="1"/>
      <color rgb="00808080"/>
      <sz val="14"/>
    </font>
    <font>
      <b val="1"/>
      <color rgb="00FFFFFF"/>
      <sz val="10"/>
    </font>
    <font>
      <b val="1"/>
      <color rgb="001F3864"/>
      <sz val="11"/>
    </font>
    <font>
      <b val="1"/>
      <color rgb="002E5FA3"/>
      <sz val="11"/>
    </font>
    <font>
      <b val="1"/>
      <color rgb="00375623"/>
      <sz val="11"/>
    </font>
    <font>
      <b val="1"/>
      <color rgb="008B0000"/>
      <sz val="11"/>
    </font>
    <font>
      <b val="1"/>
      <color rgb="00FF8C00"/>
      <sz val="11"/>
    </font>
    <font>
      <b val="1"/>
      <color rgb="00808080"/>
      <sz val="11"/>
    </font>
    <font>
      <color rgb="00808080"/>
      <sz val="9"/>
    </font>
    <font>
      <i val="1"/>
      <color rgb="00808080"/>
      <sz val="9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002E5FA3"/>
      <sz val="11"/>
    </font>
    <font>
      <name val="Calibri"/>
      <b val="1"/>
      <color rgb="00808080"/>
      <sz val="9"/>
    </font>
    <font>
      <name val="Calibri"/>
      <color rgb="001F3864"/>
      <sz val="10"/>
    </font>
    <font>
      <name val="Calibri"/>
      <b val="1"/>
      <color rgb="002E5FA3"/>
      <sz val="10"/>
    </font>
    <font>
      <name val="Calibri"/>
      <b val="1"/>
      <color rgb="008B0000"/>
      <sz val="11"/>
    </font>
    <font>
      <name val="Calibri"/>
      <b val="1"/>
      <color rgb="008B0000"/>
      <sz val="10"/>
    </font>
    <font>
      <name val="Calibri"/>
      <b val="1"/>
      <color rgb="00FF8C00"/>
      <sz val="10"/>
    </font>
    <font>
      <name val="Calibri"/>
      <b val="1"/>
      <color rgb="00375623"/>
      <sz val="10"/>
    </font>
    <font>
      <name val="Calibri"/>
      <b val="1"/>
      <color rgb="003576B6"/>
      <sz val="11"/>
    </font>
    <font>
      <name val="Calibri"/>
      <b val="1"/>
      <color rgb="003576B6"/>
      <sz val="10"/>
    </font>
    <font>
      <name val="Calibri"/>
      <b val="1"/>
      <color rgb="005D3EAD"/>
      <sz val="11"/>
    </font>
    <font>
      <name val="Calibri"/>
      <b val="1"/>
      <color rgb="005D3EAD"/>
      <sz val="10"/>
    </font>
    <font>
      <name val="Calibri"/>
      <b val="1"/>
      <color rgb="00808080"/>
      <sz val="11"/>
    </font>
    <font>
      <name val="Calibri"/>
      <b val="1"/>
      <color rgb="00808080"/>
      <sz val="10"/>
    </font>
    <font>
      <name val="Calibri"/>
      <b val="1"/>
      <color rgb="00C9A227"/>
      <sz val="14"/>
    </font>
    <font>
      <name val="Calibri"/>
      <b val="1"/>
      <color rgb="00C9A227"/>
      <sz val="12"/>
    </font>
    <font>
      <name val="Calibri"/>
      <b val="1"/>
      <color rgb="00FFD966"/>
      <sz val="13"/>
    </font>
    <font>
      <name val="Calibri"/>
      <b val="1"/>
      <color rgb="002E5FA3"/>
      <sz val="13"/>
    </font>
    <font>
      <name val="Calibri"/>
      <b val="1"/>
      <color rgb="00375623"/>
      <sz val="13"/>
    </font>
    <font>
      <name val="Calibri"/>
      <b val="1"/>
      <color rgb="008B0000"/>
      <sz val="13"/>
    </font>
    <font>
      <name val="Calibri"/>
      <b val="1"/>
      <color rgb="001F3864"/>
      <sz val="8"/>
    </font>
  </fonts>
  <fills count="30">
    <fill>
      <patternFill/>
    </fill>
    <fill>
      <patternFill patternType="gray125"/>
    </fill>
    <fill>
      <patternFill patternType="solid">
        <fgColor rgb="001F3C6E"/>
      </patternFill>
    </fill>
    <fill>
      <patternFill patternType="solid">
        <fgColor rgb="002E5090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5E6B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2F0D9"/>
      </patternFill>
    </fill>
    <fill>
      <patternFill patternType="solid">
        <fgColor rgb="00FFE0E0"/>
      </patternFill>
    </fill>
    <fill>
      <patternFill patternType="solid">
        <fgColor rgb="00FFF0D0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F8C00"/>
      </patternFill>
    </fill>
    <fill>
      <patternFill patternType="solid">
        <fgColor rgb="00375623"/>
      </patternFill>
    </fill>
    <fill>
      <patternFill patternType="solid">
        <fgColor rgb="00DAE8F7"/>
      </patternFill>
    </fill>
    <fill>
      <patternFill patternType="solid">
        <fgColor rgb="00808080"/>
      </patternFill>
    </fill>
    <fill>
      <patternFill patternType="solid">
        <fgColor rgb="00C9A227"/>
      </patternFill>
    </fill>
    <fill>
      <patternFill patternType="solid">
        <fgColor rgb="00F2D0D0"/>
      </patternFill>
    </fill>
    <fill>
      <patternFill patternType="solid">
        <fgColor rgb="FFFFFFFF"/>
      </patternFill>
    </fill>
    <fill>
      <patternFill patternType="solid">
        <fgColor rgb="008B0000"/>
      </patternFill>
    </fill>
    <fill>
      <patternFill patternType="solid">
        <fgColor rgb="00FADADD"/>
      </patternFill>
    </fill>
    <fill>
      <patternFill patternType="solid">
        <fgColor rgb="003576B6"/>
      </patternFill>
    </fill>
    <fill>
      <patternFill patternType="solid">
        <fgColor rgb="005D3EAD"/>
      </patternFill>
    </fill>
    <fill>
      <patternFill patternType="solid">
        <fgColor rgb="00D8E8F7"/>
      </patternFill>
    </fill>
    <fill>
      <patternFill patternType="solid">
        <fgColor rgb="00E0E0E0"/>
      </patternFill>
    </fill>
  </fills>
  <borders count="60">
    <border>
      <left/>
      <right/>
      <top/>
      <bottom/>
      <diagonal/>
    </border>
    <border>
      <bottom style="medium">
        <color rgb="00C9A84C"/>
      </bottom>
    </border>
    <border>
      <left/>
      <right/>
      <top/>
      <bottom style="medium">
        <color rgb="00C9A84C"/>
      </bottom>
      <diagonal/>
    </border>
    <border>
      <right/>
      <bottom style="medium">
        <color rgb="00C9A84C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  <border>
      <left/>
      <right/>
      <top style="thin">
        <color rgb="00C9A227"/>
      </top>
      <bottom/>
      <diagonal/>
    </border>
    <border>
      <left/>
      <right style="thin">
        <color rgb="00C9A227"/>
      </right>
      <top style="thin">
        <color rgb="00C9A227"/>
      </top>
      <bottom/>
      <diagonal/>
    </border>
    <border>
      <left/>
      <right/>
      <top style="thin">
        <color rgb="00C9A227"/>
      </top>
      <bottom style="thin">
        <color rgb="00C9A227"/>
      </bottom>
      <diagonal/>
    </border>
    <border>
      <left/>
      <right style="thin">
        <color rgb="00C9A227"/>
      </right>
      <top style="thin">
        <color rgb="00C9A227"/>
      </top>
      <bottom style="thin">
        <color rgb="00C9A227"/>
      </bottom>
      <diagonal/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medium">
        <color rgb="00FF8C00"/>
      </left>
      <right style="medium">
        <color rgb="00FF8C00"/>
      </right>
      <top style="medium">
        <color rgb="00FF8C00"/>
      </top>
      <bottom style="medium">
        <color rgb="00FF8C00"/>
      </bottom>
    </border>
    <border>
      <left style="medium">
        <color rgb="00375623"/>
      </left>
      <right style="medium">
        <color rgb="00375623"/>
      </right>
      <top style="medium">
        <color rgb="00375623"/>
      </top>
      <bottom style="medium">
        <color rgb="00375623"/>
      </bottom>
    </border>
    <border>
      <left style="medium">
        <color rgb="002E5FA3"/>
      </left>
      <right style="medium">
        <color rgb="002E5FA3"/>
      </right>
      <top style="medium">
        <color rgb="002E5FA3"/>
      </top>
      <bottom style="medium">
        <color rgb="002E5FA3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/>
      <right/>
      <top style="thin">
        <color rgb="002E5FA3"/>
      </top>
      <bottom/>
      <diagonal/>
    </border>
    <border>
      <left/>
      <right style="thin">
        <color rgb="002E5FA3"/>
      </right>
      <top style="thin">
        <color rgb="002E5FA3"/>
      </top>
      <bottom/>
      <diagonal/>
    </border>
    <border>
      <left/>
      <right/>
      <top style="thin">
        <color rgb="002E5FA3"/>
      </top>
      <bottom style="thin">
        <color rgb="002E5FA3"/>
      </bottom>
      <diagonal/>
    </border>
    <border>
      <left/>
      <right style="thin">
        <color rgb="002E5FA3"/>
      </right>
      <top style="thin">
        <color rgb="002E5FA3"/>
      </top>
      <bottom style="thin">
        <color rgb="002E5FA3"/>
      </bottom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FF8C00"/>
      </left>
      <right style="thin">
        <color rgb="00FF8C00"/>
      </right>
      <top style="thin">
        <color rgb="00FF8C00"/>
      </top>
      <bottom style="thin">
        <color rgb="00FF8C00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thin">
        <color rgb="00375623"/>
      </bottom>
    </border>
    <border>
      <left/>
      <right/>
      <top style="medium">
        <color rgb="00C9A227"/>
      </top>
      <bottom/>
      <diagonal/>
    </border>
    <border>
      <left/>
      <right style="medium">
        <color rgb="00C9A227"/>
      </right>
      <top style="medium">
        <color rgb="00C9A227"/>
      </top>
      <bottom/>
      <diagonal/>
    </border>
    <border>
      <left/>
      <right style="medium">
        <color rgb="00C9A227"/>
      </right>
      <top style="medium">
        <color rgb="00C9A227"/>
      </top>
      <bottom style="medium">
        <color rgb="00C9A227"/>
      </bottom>
      <diagonal/>
    </border>
    <border>
      <left/>
      <right/>
      <top style="medium">
        <color rgb="002E5FA3"/>
      </top>
      <bottom/>
      <diagonal/>
    </border>
    <border>
      <left/>
      <right style="medium">
        <color rgb="002E5FA3"/>
      </right>
      <top style="medium">
        <color rgb="002E5FA3"/>
      </top>
      <bottom/>
      <diagonal/>
    </border>
    <border>
      <left/>
      <right/>
      <top style="medium">
        <color rgb="002E5FA3"/>
      </top>
      <bottom style="medium">
        <color rgb="002E5FA3"/>
      </bottom>
      <diagonal/>
    </border>
    <border>
      <left/>
      <right style="medium">
        <color rgb="002E5FA3"/>
      </right>
      <top style="medium">
        <color rgb="002E5FA3"/>
      </top>
      <bottom style="medium">
        <color rgb="002E5FA3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/>
      <right/>
      <top style="medium">
        <color rgb="00C9A227"/>
      </top>
      <bottom style="medium">
        <color rgb="00C9A227"/>
      </bottom>
      <diagonal/>
    </border>
    <border>
      <left/>
      <right/>
      <top style="medium">
        <color rgb="00C00000"/>
      </top>
      <bottom/>
      <diagonal/>
    </border>
    <border>
      <left/>
      <right style="medium">
        <color rgb="00C00000"/>
      </right>
      <top style="medium">
        <color rgb="00C00000"/>
      </top>
      <bottom/>
      <diagonal/>
    </border>
    <border>
      <left/>
      <right/>
      <top style="medium">
        <color rgb="00C00000"/>
      </top>
      <bottom style="medium">
        <color rgb="00C00000"/>
      </bottom>
      <diagonal/>
    </border>
    <border>
      <left/>
      <right style="medium">
        <color rgb="00C00000"/>
      </right>
      <top style="medium">
        <color rgb="00C00000"/>
      </top>
      <bottom style="medium">
        <color rgb="00C00000"/>
      </bottom>
      <diagonal/>
    </border>
    <border>
      <left/>
      <right/>
      <top style="medium">
        <color rgb="00375623"/>
      </top>
      <bottom/>
      <diagonal/>
    </border>
    <border>
      <left/>
      <right style="medium">
        <color rgb="00375623"/>
      </right>
      <top style="medium">
        <color rgb="00375623"/>
      </top>
      <bottom/>
      <diagonal/>
    </border>
    <border>
      <left/>
      <right/>
      <top style="medium">
        <color rgb="00375623"/>
      </top>
      <bottom style="medium">
        <color rgb="00375623"/>
      </bottom>
      <diagonal/>
    </border>
    <border>
      <left/>
      <right style="medium">
        <color rgb="00375623"/>
      </right>
      <top style="medium">
        <color rgb="00375623"/>
      </top>
      <bottom style="medium">
        <color rgb="00375623"/>
      </bottom>
      <diagonal/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  <border>
      <left/>
      <right style="medium">
        <color rgb="00808080"/>
      </right>
      <top style="medium">
        <color rgb="00808080"/>
      </top>
      <bottom style="medium">
        <color rgb="00808080"/>
      </bottom>
      <diagonal/>
    </border>
    <border>
      <left/>
      <right/>
      <top style="medium">
        <color rgb="00FF8C00"/>
      </top>
      <bottom/>
      <diagonal/>
    </border>
    <border>
      <left/>
      <right style="medium">
        <color rgb="00FF8C00"/>
      </right>
      <top style="medium">
        <color rgb="00FF8C00"/>
      </top>
      <bottom/>
      <diagonal/>
    </border>
    <border>
      <left/>
      <right/>
      <top style="medium">
        <color rgb="00FF8C00"/>
      </top>
      <bottom style="medium">
        <color rgb="00FF8C00"/>
      </bottom>
      <diagonal/>
    </border>
    <border>
      <left/>
      <right style="medium">
        <color rgb="00FF8C00"/>
      </right>
      <top style="medium">
        <color rgb="00FF8C00"/>
      </top>
      <bottom style="medium">
        <color rgb="00FF8C00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</borders>
  <cellStyleXfs count="1">
    <xf numFmtId="0" fontId="0" fillId="0" borderId="0"/>
  </cellStyleXfs>
  <cellXfs count="40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4" fontId="10" fillId="8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15" fillId="5" borderId="0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165" fontId="12" fillId="7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0" fontId="16" fillId="9" borderId="4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 indent="1"/>
    </xf>
    <xf numFmtId="0" fontId="17" fillId="10" borderId="5" applyAlignment="1" pivotButton="0" quotePrefix="0" xfId="0">
      <alignment horizontal="left" vertical="center"/>
    </xf>
    <xf numFmtId="0" fontId="9" fillId="7" borderId="5" applyAlignment="1" pivotButton="0" quotePrefix="0" xfId="0">
      <alignment horizontal="center" vertical="center"/>
    </xf>
    <xf numFmtId="0" fontId="0" fillId="7" borderId="5" pivotButton="0" quotePrefix="0" xfId="0"/>
    <xf numFmtId="0" fontId="7" fillId="7" borderId="5" applyAlignment="1" pivotButton="0" quotePrefix="0" xfId="0">
      <alignment horizontal="left" vertical="center"/>
    </xf>
    <xf numFmtId="0" fontId="16" fillId="7" borderId="5" applyAlignment="1" pivotButton="0" quotePrefix="0" xfId="0">
      <alignment horizontal="left" vertical="center"/>
    </xf>
    <xf numFmtId="166" fontId="18" fillId="7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left" vertical="center" indent="1"/>
    </xf>
    <xf numFmtId="0" fontId="16" fillId="9" borderId="5" applyAlignment="1" pivotButton="0" quotePrefix="0" xfId="0">
      <alignment horizontal="center" vertical="center"/>
    </xf>
    <xf numFmtId="0" fontId="20" fillId="11" borderId="5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4" fillId="11" borderId="10" applyAlignment="1" pivotButton="0" quotePrefix="0" xfId="0">
      <alignment horizontal="center" vertical="center"/>
    </xf>
    <xf numFmtId="0" fontId="12" fillId="7" borderId="5" applyAlignment="1" pivotButton="0" quotePrefix="0" xfId="0">
      <alignment horizontal="center" vertical="center"/>
    </xf>
    <xf numFmtId="0" fontId="16" fillId="12" borderId="5" applyAlignment="1" pivotButton="0" quotePrefix="0" xfId="0">
      <alignment horizontal="left" vertical="center"/>
    </xf>
    <xf numFmtId="167" fontId="21" fillId="12" borderId="5" applyAlignment="1" pivotButton="0" quotePrefix="0" xfId="0">
      <alignment horizontal="center" vertical="center"/>
    </xf>
    <xf numFmtId="164" fontId="22" fillId="12" borderId="5" applyAlignment="1" pivotButton="0" quotePrefix="0" xfId="0">
      <alignment horizontal="center" vertical="center"/>
    </xf>
    <xf numFmtId="0" fontId="23" fillId="12" borderId="5" applyAlignment="1" pivotButton="0" quotePrefix="0" xfId="0">
      <alignment horizontal="left" vertical="center"/>
    </xf>
    <xf numFmtId="165" fontId="12" fillId="7" borderId="5" applyAlignment="1" pivotButton="0" quotePrefix="0" xfId="0">
      <alignment horizontal="center" vertical="center"/>
    </xf>
    <xf numFmtId="0" fontId="16" fillId="13" borderId="5" applyAlignment="1" pivotButton="0" quotePrefix="0" xfId="0">
      <alignment horizontal="left" vertical="center"/>
    </xf>
    <xf numFmtId="167" fontId="21" fillId="13" borderId="5" applyAlignment="1" pivotButton="0" quotePrefix="0" xfId="0">
      <alignment horizontal="center" vertical="center"/>
    </xf>
    <xf numFmtId="0" fontId="24" fillId="13" borderId="5" applyAlignment="1" pivotButton="0" quotePrefix="0" xfId="0">
      <alignment horizontal="center" vertical="center"/>
    </xf>
    <xf numFmtId="164" fontId="25" fillId="13" borderId="5" applyAlignment="1" pivotButton="0" quotePrefix="0" xfId="0">
      <alignment horizontal="left" vertical="center"/>
    </xf>
    <xf numFmtId="0" fontId="16" fillId="14" borderId="5" applyAlignment="1" pivotButton="0" quotePrefix="0" xfId="0">
      <alignment horizontal="left" vertical="center"/>
    </xf>
    <xf numFmtId="167" fontId="21" fillId="14" borderId="5" applyAlignment="1" pivotButton="0" quotePrefix="0" xfId="0">
      <alignment horizontal="center" vertical="center"/>
    </xf>
    <xf numFmtId="0" fontId="26" fillId="14" borderId="5" applyAlignment="1" pivotButton="0" quotePrefix="0" xfId="0">
      <alignment horizontal="center" vertical="center"/>
    </xf>
    <xf numFmtId="0" fontId="27" fillId="14" borderId="5" applyAlignment="1" pivotButton="0" quotePrefix="0" xfId="0">
      <alignment horizontal="left" vertical="center"/>
    </xf>
    <xf numFmtId="164" fontId="12" fillId="7" borderId="5" applyAlignment="1" pivotButton="0" quotePrefix="0" xfId="0">
      <alignment horizontal="center" vertical="center"/>
    </xf>
    <xf numFmtId="167" fontId="21" fillId="7" borderId="5" applyAlignment="1" pivotButton="0" quotePrefix="0" xfId="0">
      <alignment horizontal="center" vertical="center"/>
    </xf>
    <xf numFmtId="0" fontId="28" fillId="7" borderId="5" applyAlignment="1" pivotButton="0" quotePrefix="0" xfId="0">
      <alignment horizontal="center" vertical="center"/>
    </xf>
    <xf numFmtId="0" fontId="29" fillId="7" borderId="5" applyAlignment="1" pivotButton="0" quotePrefix="0" xfId="0">
      <alignment horizontal="left" vertical="center"/>
    </xf>
    <xf numFmtId="0" fontId="20" fillId="10" borderId="5" applyAlignment="1" pivotButton="0" quotePrefix="0" xfId="0">
      <alignment horizontal="left" vertical="center"/>
    </xf>
    <xf numFmtId="167" fontId="2" fillId="10" borderId="5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30" fillId="10" borderId="5" applyAlignment="1" pivotButton="0" quotePrefix="0" xfId="0">
      <alignment horizontal="left" vertical="center"/>
    </xf>
    <xf numFmtId="0" fontId="0" fillId="8" borderId="0" pivotButton="0" quotePrefix="0" xfId="0"/>
    <xf numFmtId="0" fontId="20" fillId="9" borderId="5" applyAlignment="1" pivotButton="0" quotePrefix="0" xfId="0">
      <alignment horizontal="left" vertical="center"/>
    </xf>
    <xf numFmtId="0" fontId="16" fillId="8" borderId="5" applyAlignment="1" pivotButton="0" quotePrefix="0" xfId="0">
      <alignment horizontal="left" vertical="center"/>
    </xf>
    <xf numFmtId="164" fontId="15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167" fontId="31" fillId="8" borderId="5" applyAlignment="1" pivotButton="0" quotePrefix="0" xfId="0">
      <alignment horizontal="center" vertical="center"/>
    </xf>
    <xf numFmtId="165" fontId="31" fillId="8" borderId="5" applyAlignment="1" pivotButton="0" quotePrefix="0" xfId="0">
      <alignment horizontal="center" vertical="center"/>
    </xf>
    <xf numFmtId="165" fontId="16" fillId="8" borderId="5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167" fontId="31" fillId="7" borderId="5" applyAlignment="1" pivotButton="0" quotePrefix="0" xfId="0">
      <alignment horizontal="center" vertical="center"/>
    </xf>
    <xf numFmtId="165" fontId="31" fillId="7" borderId="5" applyAlignment="1" pivotButton="0" quotePrefix="0" xfId="0">
      <alignment horizontal="center" vertical="center"/>
    </xf>
    <xf numFmtId="165" fontId="16" fillId="7" borderId="5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 indent="1"/>
    </xf>
    <xf numFmtId="0" fontId="0" fillId="8" borderId="5" pivotButton="0" quotePrefix="0" xfId="0"/>
    <xf numFmtId="0" fontId="16" fillId="9" borderId="4" applyAlignment="1" pivotButton="0" quotePrefix="0" xfId="0">
      <alignment horizontal="left" vertical="center"/>
    </xf>
    <xf numFmtId="0" fontId="12" fillId="7" borderId="5" applyAlignment="1" pivotButton="0" quotePrefix="0" xfId="0">
      <alignment horizontal="left" vertical="center"/>
    </xf>
    <xf numFmtId="0" fontId="32" fillId="10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17" fillId="11" borderId="0" applyAlignment="1" pivotButton="0" quotePrefix="0" xfId="0">
      <alignment horizontal="right" vertical="center"/>
    </xf>
    <xf numFmtId="0" fontId="19" fillId="9" borderId="15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4" fillId="16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8" borderId="0" applyAlignment="1" pivotButton="0" quotePrefix="0" xfId="0">
      <alignment horizontal="center" vertical="center"/>
    </xf>
    <xf numFmtId="0" fontId="35" fillId="15" borderId="16" applyAlignment="1" pivotButton="0" quotePrefix="0" xfId="0">
      <alignment horizontal="center" vertical="center"/>
    </xf>
    <xf numFmtId="0" fontId="37" fillId="13" borderId="17" applyAlignment="1" pivotButton="0" quotePrefix="0" xfId="0">
      <alignment horizontal="center" vertical="center"/>
    </xf>
    <xf numFmtId="0" fontId="38" fillId="14" borderId="18" applyAlignment="1" pivotButton="0" quotePrefix="0" xfId="0">
      <alignment horizontal="center" vertical="center"/>
    </xf>
    <xf numFmtId="0" fontId="39" fillId="12" borderId="19" applyAlignment="1" pivotButton="0" quotePrefix="0" xfId="0">
      <alignment horizontal="center" vertical="center"/>
    </xf>
    <xf numFmtId="0" fontId="36" fillId="15" borderId="0" applyAlignment="1" pivotButton="0" quotePrefix="0" xfId="0">
      <alignment horizontal="center" vertical="center"/>
    </xf>
    <xf numFmtId="0" fontId="36" fillId="13" borderId="0" applyAlignment="1" pivotButton="0" quotePrefix="0" xfId="0">
      <alignment horizontal="center" vertical="center"/>
    </xf>
    <xf numFmtId="0" fontId="36" fillId="14" borderId="0" applyAlignment="1" pivotButton="0" quotePrefix="0" xfId="0">
      <alignment horizontal="center" vertical="center"/>
    </xf>
    <xf numFmtId="0" fontId="36" fillId="12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4" fillId="20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0" fontId="40" fillId="19" borderId="20" applyAlignment="1" pivotButton="0" quotePrefix="0" xfId="0">
      <alignment horizontal="center" vertical="center"/>
    </xf>
    <xf numFmtId="0" fontId="41" fillId="8" borderId="21" applyAlignment="1" pivotButton="0" quotePrefix="0" xfId="0">
      <alignment horizontal="center" vertical="center"/>
    </xf>
    <xf numFmtId="0" fontId="35" fillId="9" borderId="15" applyAlignment="1" pivotButton="0" quotePrefix="0" xfId="0">
      <alignment horizontal="center" vertical="center"/>
    </xf>
    <xf numFmtId="0" fontId="36" fillId="19" borderId="0" applyAlignment="1" pivotButton="0" quotePrefix="0" xfId="0">
      <alignment horizontal="center" vertical="center"/>
    </xf>
    <xf numFmtId="0" fontId="36" fillId="8" borderId="0" applyAlignment="1" pivotButton="0" quotePrefix="0" xfId="0">
      <alignment horizontal="center" vertical="center"/>
    </xf>
    <xf numFmtId="0" fontId="36" fillId="9" borderId="0" applyAlignment="1" pivotButton="0" quotePrefix="0" xfId="0">
      <alignment horizontal="center" vertical="center"/>
    </xf>
    <xf numFmtId="0" fontId="17" fillId="11" borderId="1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14" fillId="10" borderId="26" applyAlignment="1" pivotButton="0" quotePrefix="0" xfId="0">
      <alignment horizontal="center" vertical="center"/>
    </xf>
    <xf numFmtId="0" fontId="42" fillId="12" borderId="5" applyAlignment="1" pivotButton="0" quotePrefix="0" xfId="0">
      <alignment horizontal="left" vertical="center"/>
    </xf>
    <xf numFmtId="0" fontId="43" fillId="12" borderId="5" applyAlignment="1" pivotButton="0" quotePrefix="0" xfId="0">
      <alignment horizontal="center" vertical="center"/>
    </xf>
    <xf numFmtId="0" fontId="42" fillId="13" borderId="5" applyAlignment="1" pivotButton="0" quotePrefix="0" xfId="0">
      <alignment horizontal="left" vertical="center"/>
    </xf>
    <xf numFmtId="0" fontId="44" fillId="13" borderId="5" applyAlignment="1" pivotButton="0" quotePrefix="0" xfId="0">
      <alignment horizontal="center" vertical="center"/>
    </xf>
    <xf numFmtId="0" fontId="25" fillId="13" borderId="5" applyAlignment="1" pivotButton="0" quotePrefix="0" xfId="0">
      <alignment horizontal="left" vertical="center"/>
    </xf>
    <xf numFmtId="0" fontId="42" fillId="14" borderId="5" applyAlignment="1" pivotButton="0" quotePrefix="0" xfId="0">
      <alignment horizontal="left" vertical="center"/>
    </xf>
    <xf numFmtId="0" fontId="45" fillId="14" borderId="5" applyAlignment="1" pivotButton="0" quotePrefix="0" xfId="0">
      <alignment horizontal="center" vertical="center"/>
    </xf>
    <xf numFmtId="0" fontId="42" fillId="8" borderId="5" applyAlignment="1" pivotButton="0" quotePrefix="0" xfId="0">
      <alignment horizontal="left" vertical="center"/>
    </xf>
    <xf numFmtId="167" fontId="21" fillId="8" borderId="5" applyAlignment="1" pivotButton="0" quotePrefix="0" xfId="0">
      <alignment horizontal="center" vertical="center"/>
    </xf>
    <xf numFmtId="0" fontId="46" fillId="8" borderId="5" applyAlignment="1" pivotButton="0" quotePrefix="0" xfId="0">
      <alignment horizontal="center" vertical="center"/>
    </xf>
    <xf numFmtId="0" fontId="47" fillId="8" borderId="5" applyAlignment="1" pivotButton="0" quotePrefix="0" xfId="0">
      <alignment horizontal="left" vertical="center"/>
    </xf>
    <xf numFmtId="0" fontId="17" fillId="10" borderId="26" applyAlignment="1" pivotButton="0" quotePrefix="0" xfId="0">
      <alignment horizontal="left" vertical="center"/>
    </xf>
    <xf numFmtId="167" fontId="2" fillId="10" borderId="26" applyAlignment="1" pivotButton="0" quotePrefix="0" xfId="0">
      <alignment horizontal="center" vertical="center"/>
    </xf>
    <xf numFmtId="0" fontId="0" fillId="10" borderId="26" pivotButton="0" quotePrefix="0" xfId="0"/>
    <xf numFmtId="0" fontId="2" fillId="10" borderId="26" applyAlignment="1" pivotButton="0" quotePrefix="0" xfId="0">
      <alignment horizontal="center" vertical="center"/>
    </xf>
    <xf numFmtId="0" fontId="48" fillId="10" borderId="26" applyAlignment="1" pivotButton="0" quotePrefix="0" xfId="0">
      <alignment horizontal="left" vertical="center"/>
    </xf>
    <xf numFmtId="0" fontId="49" fillId="10" borderId="0" applyAlignment="1" pivotButton="0" quotePrefix="0" xfId="0">
      <alignment horizontal="center" vertical="center"/>
    </xf>
    <xf numFmtId="0" fontId="49" fillId="16" borderId="0" applyAlignment="1" pivotButton="0" quotePrefix="0" xfId="0">
      <alignment horizontal="center" vertical="center"/>
    </xf>
    <xf numFmtId="0" fontId="49" fillId="17" borderId="0" applyAlignment="1" pivotButton="0" quotePrefix="0" xfId="0">
      <alignment horizontal="center" vertical="center"/>
    </xf>
    <xf numFmtId="0" fontId="49" fillId="18" borderId="0" applyAlignment="1" pivotButton="0" quotePrefix="0" xfId="0">
      <alignment horizontal="center" vertical="center"/>
    </xf>
    <xf numFmtId="0" fontId="49" fillId="10" borderId="26" applyAlignment="1" pivotButton="0" quotePrefix="0" xfId="0">
      <alignment horizontal="center" vertical="center"/>
    </xf>
    <xf numFmtId="0" fontId="49" fillId="16" borderId="27" applyAlignment="1" pivotButton="0" quotePrefix="0" xfId="0">
      <alignment horizontal="center" vertical="center"/>
    </xf>
    <xf numFmtId="0" fontId="49" fillId="17" borderId="28" applyAlignment="1" pivotButton="0" quotePrefix="0" xfId="0">
      <alignment horizontal="center" vertical="center"/>
    </xf>
    <xf numFmtId="0" fontId="49" fillId="18" borderId="29" applyAlignment="1" pivotButton="0" quotePrefix="0" xfId="0">
      <alignment horizontal="center" vertical="center"/>
    </xf>
    <xf numFmtId="0" fontId="50" fillId="15" borderId="5" applyAlignment="1" pivotButton="0" quotePrefix="0" xfId="0">
      <alignment horizontal="center" vertical="center"/>
    </xf>
    <xf numFmtId="0" fontId="51" fillId="15" borderId="5" applyAlignment="1" pivotButton="0" quotePrefix="0" xfId="0">
      <alignment horizontal="center" vertical="center"/>
    </xf>
    <xf numFmtId="167" fontId="52" fillId="15" borderId="5" applyAlignment="1" pivotButton="0" quotePrefix="0" xfId="0">
      <alignment horizontal="center" vertical="center"/>
    </xf>
    <xf numFmtId="0" fontId="50" fillId="13" borderId="5" applyAlignment="1" pivotButton="0" quotePrefix="0" xfId="0">
      <alignment horizontal="center" vertical="center"/>
    </xf>
    <xf numFmtId="0" fontId="51" fillId="13" borderId="5" applyAlignment="1" pivotButton="0" quotePrefix="0" xfId="0">
      <alignment horizontal="center" vertical="center"/>
    </xf>
    <xf numFmtId="167" fontId="52" fillId="13" borderId="5" applyAlignment="1" pivotButton="0" quotePrefix="0" xfId="0">
      <alignment horizontal="center" vertical="center"/>
    </xf>
    <xf numFmtId="0" fontId="50" fillId="14" borderId="5" applyAlignment="1" pivotButton="0" quotePrefix="0" xfId="0">
      <alignment horizontal="center" vertical="center"/>
    </xf>
    <xf numFmtId="0" fontId="51" fillId="14" borderId="5" applyAlignment="1" pivotButton="0" quotePrefix="0" xfId="0">
      <alignment horizontal="center" vertical="center"/>
    </xf>
    <xf numFmtId="167" fontId="52" fillId="14" borderId="5" applyAlignment="1" pivotButton="0" quotePrefix="0" xfId="0">
      <alignment horizontal="center" vertical="center"/>
    </xf>
    <xf numFmtId="0" fontId="50" fillId="12" borderId="5" applyAlignment="1" pivotButton="0" quotePrefix="0" xfId="0">
      <alignment horizontal="center" vertical="center"/>
    </xf>
    <xf numFmtId="0" fontId="51" fillId="12" borderId="5" applyAlignment="1" pivotButton="0" quotePrefix="0" xfId="0">
      <alignment horizontal="center" vertical="center"/>
    </xf>
    <xf numFmtId="167" fontId="52" fillId="12" borderId="5" applyAlignment="1" pivotButton="0" quotePrefix="0" xfId="0">
      <alignment horizontal="center" vertical="center"/>
    </xf>
    <xf numFmtId="0" fontId="50" fillId="7" borderId="5" applyAlignment="1" pivotButton="0" quotePrefix="0" xfId="0">
      <alignment horizontal="center" vertical="center"/>
    </xf>
    <xf numFmtId="0" fontId="51" fillId="7" borderId="5" applyAlignment="1" pivotButton="0" quotePrefix="0" xfId="0">
      <alignment horizontal="center" vertical="center"/>
    </xf>
    <xf numFmtId="167" fontId="52" fillId="7" borderId="5" applyAlignment="1" pivotButton="0" quotePrefix="0" xfId="0">
      <alignment horizontal="center" vertical="center"/>
    </xf>
    <xf numFmtId="0" fontId="42" fillId="8" borderId="5" applyAlignment="1" pivotButton="0" quotePrefix="0" xfId="0">
      <alignment horizontal="center" vertical="center"/>
    </xf>
    <xf numFmtId="167" fontId="53" fillId="8" borderId="5" applyAlignment="1" pivotButton="0" quotePrefix="0" xfId="0">
      <alignment horizontal="center" vertical="center"/>
    </xf>
    <xf numFmtId="0" fontId="47" fillId="8" borderId="0" applyAlignment="1" pivotButton="0" quotePrefix="0" xfId="0">
      <alignment horizontal="left" vertical="center"/>
    </xf>
    <xf numFmtId="0" fontId="54" fillId="1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32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41" pivotButton="0" quotePrefix="0" xfId="0"/>
    <xf numFmtId="0" fontId="42" fillId="15" borderId="5" applyAlignment="1" pivotButton="0" quotePrefix="0" xfId="0">
      <alignment horizontal="left" vertical="center"/>
    </xf>
    <xf numFmtId="167" fontId="21" fillId="15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center" vertical="center"/>
    </xf>
    <xf numFmtId="0" fontId="55" fillId="15" borderId="5" applyAlignment="1" pivotButton="0" quotePrefix="0" xfId="0">
      <alignment horizontal="left" vertical="center"/>
    </xf>
    <xf numFmtId="0" fontId="42" fillId="19" borderId="5" applyAlignment="1" pivotButton="0" quotePrefix="0" xfId="0">
      <alignment horizontal="left" vertical="center"/>
    </xf>
    <xf numFmtId="167" fontId="21" fillId="19" borderId="5" applyAlignment="1" pivotButton="0" quotePrefix="0" xfId="0">
      <alignment horizontal="center" vertical="center"/>
    </xf>
    <xf numFmtId="0" fontId="56" fillId="19" borderId="5" applyAlignment="1" pivotButton="0" quotePrefix="0" xfId="0">
      <alignment horizontal="center" vertical="center"/>
    </xf>
    <xf numFmtId="0" fontId="57" fillId="19" borderId="5" applyAlignment="1" pivotButton="0" quotePrefix="0" xfId="0">
      <alignment horizontal="left" vertical="center"/>
    </xf>
    <xf numFmtId="0" fontId="42" fillId="12" borderId="5" applyAlignment="1" pivotButton="0" quotePrefix="0" xfId="0">
      <alignment horizontal="left" vertical="center"/>
    </xf>
    <xf numFmtId="167" fontId="21" fillId="12" borderId="5" applyAlignment="1" pivotButton="0" quotePrefix="0" xfId="0">
      <alignment horizontal="center" vertical="center"/>
    </xf>
    <xf numFmtId="0" fontId="43" fillId="12" borderId="5" applyAlignment="1" pivotButton="0" quotePrefix="0" xfId="0">
      <alignment horizontal="center" vertical="center"/>
    </xf>
    <xf numFmtId="0" fontId="23" fillId="12" borderId="5" applyAlignment="1" pivotButton="0" quotePrefix="0" xfId="0">
      <alignment horizontal="left" vertical="center"/>
    </xf>
    <xf numFmtId="0" fontId="42" fillId="13" borderId="5" applyAlignment="1" pivotButton="0" quotePrefix="0" xfId="0">
      <alignment horizontal="left" vertical="center"/>
    </xf>
    <xf numFmtId="167" fontId="21" fillId="13" borderId="5" applyAlignment="1" pivotButton="0" quotePrefix="0" xfId="0">
      <alignment horizontal="center" vertical="center"/>
    </xf>
    <xf numFmtId="0" fontId="44" fillId="13" borderId="5" applyAlignment="1" pivotButton="0" quotePrefix="0" xfId="0">
      <alignment horizontal="center" vertical="center"/>
    </xf>
    <xf numFmtId="0" fontId="25" fillId="13" borderId="5" applyAlignment="1" pivotButton="0" quotePrefix="0" xfId="0">
      <alignment horizontal="left" vertical="center"/>
    </xf>
    <xf numFmtId="0" fontId="42" fillId="14" borderId="5" applyAlignment="1" pivotButton="0" quotePrefix="0" xfId="0">
      <alignment horizontal="left" vertical="center"/>
    </xf>
    <xf numFmtId="167" fontId="21" fillId="14" borderId="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27" fillId="14" borderId="5" applyAlignment="1" pivotButton="0" quotePrefix="0" xfId="0">
      <alignment horizontal="left" vertical="center"/>
    </xf>
    <xf numFmtId="0" fontId="17" fillId="10" borderId="26" applyAlignment="1" pivotButton="0" quotePrefix="0" xfId="0">
      <alignment horizontal="left" vertical="center"/>
    </xf>
    <xf numFmtId="167" fontId="2" fillId="10" borderId="26" applyAlignment="1" pivotButton="0" quotePrefix="0" xfId="0">
      <alignment horizontal="center" vertical="center"/>
    </xf>
    <xf numFmtId="0" fontId="2" fillId="10" borderId="26" applyAlignment="1" pivotButton="0" quotePrefix="0" xfId="0">
      <alignment horizontal="center" vertical="center"/>
    </xf>
    <xf numFmtId="0" fontId="48" fillId="10" borderId="26" applyAlignment="1" pivotButton="0" quotePrefix="0" xfId="0">
      <alignment horizontal="left" vertical="center"/>
    </xf>
    <xf numFmtId="164" fontId="18" fillId="15" borderId="5" applyAlignment="1" pivotButton="0" quotePrefix="0" xfId="0">
      <alignment horizontal="center" vertical="center"/>
    </xf>
    <xf numFmtId="164" fontId="57" fillId="19" borderId="5" applyAlignment="1" pivotButton="0" quotePrefix="0" xfId="0">
      <alignment horizontal="left" vertical="center"/>
    </xf>
    <xf numFmtId="0" fontId="58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59" fillId="8" borderId="0" applyAlignment="1" pivotButton="0" quotePrefix="0" xfId="0">
      <alignment horizontal="left" vertical="center" wrapText="1"/>
    </xf>
    <xf numFmtId="0" fontId="20" fillId="10" borderId="26" applyAlignment="1" pivotButton="0" quotePrefix="0" xfId="0">
      <alignment horizontal="center" vertical="center"/>
    </xf>
    <xf numFmtId="0" fontId="60" fillId="15" borderId="5" applyAlignment="1" pivotButton="0" quotePrefix="0" xfId="0">
      <alignment horizontal="left" vertical="center" wrapText="1"/>
    </xf>
    <xf numFmtId="0" fontId="22" fillId="15" borderId="5" applyAlignment="1" pivotButton="0" quotePrefix="0" xfId="0">
      <alignment horizontal="center" vertical="center"/>
    </xf>
    <xf numFmtId="0" fontId="61" fillId="15" borderId="5" applyAlignment="1" pivotButton="0" quotePrefix="0" xfId="0">
      <alignment horizontal="left" vertical="center" wrapText="1"/>
    </xf>
    <xf numFmtId="0" fontId="62" fillId="15" borderId="5" applyAlignment="1" pivotButton="0" quotePrefix="0" xfId="0">
      <alignment horizontal="left" vertical="center" wrapText="1"/>
    </xf>
    <xf numFmtId="0" fontId="60" fillId="7" borderId="5" applyAlignment="1" pivotButton="0" quotePrefix="0" xfId="0">
      <alignment horizontal="left" vertical="center" wrapText="1"/>
    </xf>
    <xf numFmtId="0" fontId="22" fillId="7" borderId="5" applyAlignment="1" pivotButton="0" quotePrefix="0" xfId="0">
      <alignment horizontal="center" vertical="center"/>
    </xf>
    <xf numFmtId="0" fontId="61" fillId="7" borderId="5" applyAlignment="1" pivotButton="0" quotePrefix="0" xfId="0">
      <alignment horizontal="left" vertical="center" wrapText="1"/>
    </xf>
    <xf numFmtId="0" fontId="62" fillId="7" borderId="5" applyAlignment="1" pivotButton="0" quotePrefix="0" xfId="0">
      <alignment horizontal="left" vertical="center" wrapText="1"/>
    </xf>
    <xf numFmtId="0" fontId="47" fillId="8" borderId="0" applyAlignment="1" pivotButton="0" quotePrefix="0" xfId="0">
      <alignment horizontal="left" vertical="center" wrapText="1"/>
    </xf>
    <xf numFmtId="0" fontId="54" fillId="10" borderId="0" applyAlignment="1" pivotButton="0" quotePrefix="0" xfId="0">
      <alignment horizontal="center" vertical="center"/>
    </xf>
    <xf numFmtId="0" fontId="14" fillId="10" borderId="5" applyAlignment="1" pivotButton="0" quotePrefix="0" xfId="0">
      <alignment horizontal="center" vertical="center"/>
    </xf>
    <xf numFmtId="0" fontId="14" fillId="11" borderId="5" applyAlignment="1" pivotButton="0" quotePrefix="0" xfId="0">
      <alignment horizontal="center" vertical="center"/>
    </xf>
    <xf numFmtId="0" fontId="14" fillId="18" borderId="5" applyAlignment="1" pivotButton="0" quotePrefix="0" xfId="0">
      <alignment horizontal="center" vertical="center"/>
    </xf>
    <xf numFmtId="0" fontId="14" fillId="16" borderId="5" applyAlignment="1" pivotButton="0" quotePrefix="0" xfId="0">
      <alignment horizontal="center" vertical="center"/>
    </xf>
    <xf numFmtId="0" fontId="63" fillId="15" borderId="16" applyAlignment="1" pivotButton="0" quotePrefix="0" xfId="0">
      <alignment horizontal="center" vertical="center"/>
    </xf>
    <xf numFmtId="0" fontId="64" fillId="19" borderId="20" applyAlignment="1" pivotButton="0" quotePrefix="0" xfId="0">
      <alignment horizontal="center" vertical="center"/>
    </xf>
    <xf numFmtId="0" fontId="65" fillId="12" borderId="19" applyAlignment="1" pivotButton="0" quotePrefix="0" xfId="0">
      <alignment horizontal="center" vertical="center"/>
    </xf>
    <xf numFmtId="0" fontId="66" fillId="13" borderId="17" applyAlignment="1" pivotButton="0" quotePrefix="0" xfId="0">
      <alignment horizontal="center" vertical="center"/>
    </xf>
    <xf numFmtId="0" fontId="36" fillId="15" borderId="5" applyAlignment="1" pivotButton="0" quotePrefix="0" xfId="0">
      <alignment horizontal="center" vertical="center"/>
    </xf>
    <xf numFmtId="0" fontId="36" fillId="19" borderId="5" applyAlignment="1" pivotButton="0" quotePrefix="0" xfId="0">
      <alignment horizontal="center" vertical="center"/>
    </xf>
    <xf numFmtId="0" fontId="36" fillId="12" borderId="5" applyAlignment="1" pivotButton="0" quotePrefix="0" xfId="0">
      <alignment horizontal="center" vertical="center"/>
    </xf>
    <xf numFmtId="0" fontId="36" fillId="13" borderId="5" applyAlignment="1" pivotButton="0" quotePrefix="0" xfId="0">
      <alignment horizontal="center" vertical="center"/>
    </xf>
    <xf numFmtId="0" fontId="14" fillId="17" borderId="5" applyAlignment="1" pivotButton="0" quotePrefix="0" xfId="0">
      <alignment horizontal="center" vertical="center"/>
    </xf>
    <xf numFmtId="0" fontId="14" fillId="20" borderId="5" applyAlignment="1" pivotButton="0" quotePrefix="0" xfId="0">
      <alignment horizontal="center" vertical="center"/>
    </xf>
    <xf numFmtId="0" fontId="14" fillId="21" borderId="5" applyAlignment="1" pivotButton="0" quotePrefix="0" xfId="0">
      <alignment horizontal="center" vertical="center"/>
    </xf>
    <xf numFmtId="0" fontId="67" fillId="14" borderId="18" applyAlignment="1" pivotButton="0" quotePrefix="0" xfId="0">
      <alignment horizontal="center" vertical="center"/>
    </xf>
    <xf numFmtId="0" fontId="68" fillId="8" borderId="21" applyAlignment="1" pivotButton="0" quotePrefix="0" xfId="0">
      <alignment horizontal="center" vertical="center"/>
    </xf>
    <xf numFmtId="0" fontId="63" fillId="9" borderId="15" applyAlignment="1" pivotButton="0" quotePrefix="0" xfId="0">
      <alignment horizontal="center" vertical="center"/>
    </xf>
    <xf numFmtId="0" fontId="36" fillId="14" borderId="5" applyAlignment="1" pivotButton="0" quotePrefix="0" xfId="0">
      <alignment horizontal="center" vertical="center"/>
    </xf>
    <xf numFmtId="0" fontId="36" fillId="8" borderId="5" applyAlignment="1" pivotButton="0" quotePrefix="0" xfId="0">
      <alignment horizontal="center" vertical="center"/>
    </xf>
    <xf numFmtId="0" fontId="36" fillId="9" borderId="5" applyAlignment="1" pivotButton="0" quotePrefix="0" xfId="0">
      <alignment horizontal="center" vertical="center"/>
    </xf>
    <xf numFmtId="0" fontId="0" fillId="10" borderId="5" pivotButton="0" quotePrefix="0" xfId="0"/>
    <xf numFmtId="0" fontId="17" fillId="7" borderId="5" applyAlignment="1" pivotButton="0" quotePrefix="0" xfId="0">
      <alignment horizontal="left" vertical="center"/>
    </xf>
    <xf numFmtId="0" fontId="20" fillId="8" borderId="5" applyAlignment="1" pivotButton="0" quotePrefix="0" xfId="0">
      <alignment horizontal="left" vertical="center"/>
    </xf>
    <xf numFmtId="0" fontId="14" fillId="8" borderId="10" applyAlignment="1" pivotButton="0" quotePrefix="0" xfId="0">
      <alignment horizontal="center" vertical="center"/>
    </xf>
    <xf numFmtId="0" fontId="12" fillId="8" borderId="5" applyAlignment="1" pivotButton="0" quotePrefix="0" xfId="0">
      <alignment horizontal="center" vertical="center"/>
    </xf>
    <xf numFmtId="164" fontId="18" fillId="8" borderId="5" applyAlignment="1" pivotButton="0" quotePrefix="0" xfId="0">
      <alignment horizontal="center" vertical="center"/>
    </xf>
    <xf numFmtId="0" fontId="55" fillId="8" borderId="5" applyAlignment="1" pivotButton="0" quotePrefix="0" xfId="0">
      <alignment horizontal="left" vertical="center"/>
    </xf>
    <xf numFmtId="165" fontId="12" fillId="8" borderId="5" applyAlignment="1" pivotButton="0" quotePrefix="0" xfId="0">
      <alignment horizontal="center" vertical="center"/>
    </xf>
    <xf numFmtId="0" fontId="56" fillId="8" borderId="5" applyAlignment="1" pivotButton="0" quotePrefix="0" xfId="0">
      <alignment horizontal="center" vertical="center"/>
    </xf>
    <xf numFmtId="164" fontId="57" fillId="8" borderId="5" applyAlignment="1" pivotButton="0" quotePrefix="0" xfId="0">
      <alignment horizontal="left" vertical="center"/>
    </xf>
    <xf numFmtId="0" fontId="43" fillId="8" borderId="5" applyAlignment="1" pivotButton="0" quotePrefix="0" xfId="0">
      <alignment horizontal="center" vertical="center"/>
    </xf>
    <xf numFmtId="0" fontId="23" fillId="8" borderId="5" applyAlignment="1" pivotButton="0" quotePrefix="0" xfId="0">
      <alignment horizontal="left" vertical="center"/>
    </xf>
    <xf numFmtId="164" fontId="12" fillId="8" borderId="5" applyAlignment="1" pivotButton="0" quotePrefix="0" xfId="0">
      <alignment horizontal="center" vertical="center"/>
    </xf>
    <xf numFmtId="0" fontId="44" fillId="8" borderId="5" applyAlignment="1" pivotButton="0" quotePrefix="0" xfId="0">
      <alignment horizontal="center" vertical="center"/>
    </xf>
    <xf numFmtId="0" fontId="25" fillId="8" borderId="5" applyAlignment="1" pivotButton="0" quotePrefix="0" xfId="0">
      <alignment horizontal="left" vertical="center"/>
    </xf>
    <xf numFmtId="0" fontId="45" fillId="8" borderId="5" applyAlignment="1" pivotButton="0" quotePrefix="0" xfId="0">
      <alignment horizontal="center" vertical="center"/>
    </xf>
    <xf numFmtId="0" fontId="27" fillId="8" borderId="5" applyAlignment="1" pivotButton="0" quotePrefix="0" xfId="0">
      <alignment horizontal="left" vertical="center"/>
    </xf>
    <xf numFmtId="0" fontId="17" fillId="8" borderId="26" applyAlignment="1" pivotButton="0" quotePrefix="0" xfId="0">
      <alignment horizontal="left" vertical="center"/>
    </xf>
    <xf numFmtId="167" fontId="2" fillId="8" borderId="26" applyAlignment="1" pivotButton="0" quotePrefix="0" xfId="0">
      <alignment horizontal="center" vertical="center"/>
    </xf>
    <xf numFmtId="0" fontId="0" fillId="8" borderId="26" pivotButton="0" quotePrefix="0" xfId="0"/>
    <xf numFmtId="0" fontId="2" fillId="8" borderId="26" applyAlignment="1" pivotButton="0" quotePrefix="0" xfId="0">
      <alignment horizontal="center" vertical="center"/>
    </xf>
    <xf numFmtId="0" fontId="48" fillId="8" borderId="26" applyAlignment="1" pivotButton="0" quotePrefix="0" xfId="0">
      <alignment horizontal="left" vertical="center"/>
    </xf>
    <xf numFmtId="167" fontId="18" fillId="7" borderId="5" applyAlignment="1" pivotButton="0" quotePrefix="0" xfId="0">
      <alignment horizontal="center" vertical="center"/>
    </xf>
    <xf numFmtId="167" fontId="15" fillId="5" borderId="0" applyAlignment="1" pivotButton="0" quotePrefix="0" xfId="0">
      <alignment horizontal="center" vertical="center"/>
    </xf>
    <xf numFmtId="167" fontId="15" fillId="8" borderId="0" applyAlignment="1" pivotButton="0" quotePrefix="0" xfId="0">
      <alignment horizontal="center" vertical="center"/>
    </xf>
    <xf numFmtId="167" fontId="15" fillId="6" borderId="0" applyAlignment="1" pivotButton="0" quotePrefix="0" xfId="0">
      <alignment horizontal="center" vertical="center"/>
    </xf>
    <xf numFmtId="0" fontId="77" fillId="9" borderId="15" applyAlignment="1" pivotButton="0" quotePrefix="0" xfId="0">
      <alignment horizontal="left" vertical="center"/>
    </xf>
    <xf numFmtId="0" fontId="69" fillId="10" borderId="5" applyAlignment="1" pivotButton="0" quotePrefix="0" xfId="0">
      <alignment horizontal="center" vertical="center"/>
    </xf>
    <xf numFmtId="0" fontId="69" fillId="11" borderId="5" applyAlignment="1" pivotButton="0" quotePrefix="0" xfId="0">
      <alignment horizontal="center" vertical="center"/>
    </xf>
    <xf numFmtId="3" fontId="70" fillId="15" borderId="16" applyAlignment="1" pivotButton="0" quotePrefix="0" xfId="0">
      <alignment horizontal="center" vertical="center"/>
    </xf>
    <xf numFmtId="3" fontId="71" fillId="19" borderId="20" applyAlignment="1" pivotButton="0" quotePrefix="0" xfId="0">
      <alignment horizontal="center" vertical="center"/>
    </xf>
    <xf numFmtId="3" fontId="72" fillId="12" borderId="19" applyAlignment="1" pivotButton="0" quotePrefix="0" xfId="0">
      <alignment horizontal="center" vertical="center"/>
    </xf>
    <xf numFmtId="3" fontId="73" fillId="22" borderId="17" applyAlignment="1" pivotButton="0" quotePrefix="0" xfId="0">
      <alignment horizontal="center" vertical="center"/>
    </xf>
    <xf numFmtId="165" fontId="76" fillId="15" borderId="5" applyAlignment="1" pivotButton="0" quotePrefix="0" xfId="0">
      <alignment horizontal="center" vertical="center"/>
    </xf>
    <xf numFmtId="165" fontId="76" fillId="19" borderId="5" applyAlignment="1" pivotButton="0" quotePrefix="0" xfId="0">
      <alignment horizontal="center" vertical="center"/>
    </xf>
    <xf numFmtId="165" fontId="76" fillId="12" borderId="5" applyAlignment="1" pivotButton="0" quotePrefix="0" xfId="0">
      <alignment horizontal="center" vertical="center"/>
    </xf>
    <xf numFmtId="165" fontId="76" fillId="13" borderId="5" applyAlignment="1" pivotButton="0" quotePrefix="0" xfId="0">
      <alignment horizontal="center" vertical="center"/>
    </xf>
    <xf numFmtId="3" fontId="74" fillId="14" borderId="18" applyAlignment="1" pivotButton="0" quotePrefix="0" xfId="0">
      <alignment horizontal="center" vertical="center"/>
    </xf>
    <xf numFmtId="3" fontId="75" fillId="8" borderId="21" applyAlignment="1" pivotButton="0" quotePrefix="0" xfId="0">
      <alignment horizontal="center" vertical="center"/>
    </xf>
    <xf numFmtId="3" fontId="71" fillId="19" borderId="15" applyAlignment="1" pivotButton="0" quotePrefix="0" xfId="0">
      <alignment horizontal="center" vertical="center"/>
    </xf>
    <xf numFmtId="165" fontId="76" fillId="14" borderId="5" applyAlignment="1" pivotButton="0" quotePrefix="0" xfId="0">
      <alignment horizontal="center" vertical="center"/>
    </xf>
    <xf numFmtId="165" fontId="76" fillId="8" borderId="5" applyAlignment="1" pivotButton="0" quotePrefix="0" xfId="0">
      <alignment horizontal="center" vertical="center"/>
    </xf>
    <xf numFmtId="165" fontId="76" fillId="9" borderId="5" applyAlignment="1" pivotButton="0" quotePrefix="0" xfId="0">
      <alignment horizontal="center" vertical="center"/>
    </xf>
    <xf numFmtId="165" fontId="18" fillId="15" borderId="5" applyAlignment="1" pivotButton="0" quotePrefix="0" xfId="0">
      <alignment horizontal="center" vertical="center"/>
    </xf>
    <xf numFmtId="165" fontId="56" fillId="19" borderId="5" applyAlignment="1" pivotButton="0" quotePrefix="0" xfId="0">
      <alignment horizontal="center" vertical="center"/>
    </xf>
    <xf numFmtId="165" fontId="43" fillId="12" borderId="5" applyAlignment="1" pivotButton="0" quotePrefix="0" xfId="0">
      <alignment horizontal="center" vertical="center"/>
    </xf>
    <xf numFmtId="165" fontId="44" fillId="13" borderId="5" applyAlignment="1" pivotButton="0" quotePrefix="0" xfId="0">
      <alignment horizontal="center" vertical="center"/>
    </xf>
    <xf numFmtId="165" fontId="45" fillId="14" borderId="5" applyAlignment="1" pivotButton="0" quotePrefix="0" xfId="0">
      <alignment horizontal="center" vertical="center"/>
    </xf>
    <xf numFmtId="165" fontId="2" fillId="10" borderId="26" applyAlignment="1" pivotButton="0" quotePrefix="0" xfId="0">
      <alignment horizontal="center" vertical="center"/>
    </xf>
    <xf numFmtId="0" fontId="94" fillId="10" borderId="0" applyAlignment="1" pivotButton="0" quotePrefix="0" xfId="0">
      <alignment horizontal="center" vertical="center" wrapText="1"/>
    </xf>
    <xf numFmtId="0" fontId="95" fillId="10" borderId="0" applyAlignment="1" pivotButton="0" quotePrefix="0" xfId="0">
      <alignment horizontal="center" vertical="center" wrapText="1"/>
    </xf>
    <xf numFmtId="0" fontId="96" fillId="10" borderId="0" applyAlignment="1" pivotButton="0" quotePrefix="0" xfId="0">
      <alignment horizontal="center" vertical="center" wrapText="1"/>
    </xf>
    <xf numFmtId="0" fontId="79" fillId="11" borderId="0" applyAlignment="1" pivotButton="0" quotePrefix="0" xfId="0">
      <alignment horizontal="center" vertical="center" wrapText="1"/>
    </xf>
    <xf numFmtId="0" fontId="18" fillId="9" borderId="59" applyAlignment="1" pivotButton="0" quotePrefix="0" xfId="0">
      <alignment horizontal="center" vertical="center" wrapText="1"/>
    </xf>
    <xf numFmtId="0" fontId="56" fillId="9" borderId="15" applyAlignment="1" pivotButton="0" quotePrefix="0" xfId="0">
      <alignment horizontal="center" vertical="center" wrapText="1"/>
    </xf>
    <xf numFmtId="0" fontId="79" fillId="10" borderId="5" applyAlignment="1" pivotButton="0" quotePrefix="0" xfId="0">
      <alignment horizontal="center" vertical="center" wrapText="1"/>
    </xf>
    <xf numFmtId="3" fontId="97" fillId="15" borderId="59" applyAlignment="1" pivotButton="0" quotePrefix="0" xfId="0">
      <alignment horizontal="center" vertical="center" wrapText="1"/>
    </xf>
    <xf numFmtId="3" fontId="98" fillId="12" borderId="59" applyAlignment="1" pivotButton="0" quotePrefix="0" xfId="0">
      <alignment horizontal="center" vertical="center" wrapText="1"/>
    </xf>
    <xf numFmtId="3" fontId="99" fillId="22" borderId="59" applyAlignment="1" pivotButton="0" quotePrefix="0" xfId="0">
      <alignment horizontal="center" vertical="center" wrapText="1"/>
    </xf>
    <xf numFmtId="165" fontId="47" fillId="15" borderId="5" applyAlignment="1" pivotButton="0" quotePrefix="0" xfId="0">
      <alignment horizontal="center" vertical="center" wrapText="1"/>
    </xf>
    <xf numFmtId="165" fontId="47" fillId="19" borderId="5" applyAlignment="1" pivotButton="0" quotePrefix="0" xfId="0">
      <alignment horizontal="center" vertical="center" wrapText="1"/>
    </xf>
    <xf numFmtId="165" fontId="47" fillId="12" borderId="5" applyAlignment="1" pivotButton="0" quotePrefix="0" xfId="0">
      <alignment horizontal="center" vertical="center" wrapText="1"/>
    </xf>
    <xf numFmtId="165" fontId="47" fillId="13" borderId="5" applyAlignment="1" pivotButton="0" quotePrefix="0" xfId="0">
      <alignment horizontal="center" vertical="center" wrapText="1"/>
    </xf>
    <xf numFmtId="0" fontId="79" fillId="11" borderId="5" applyAlignment="1" pivotButton="0" quotePrefix="0" xfId="0">
      <alignment horizontal="center" vertical="center" wrapText="1"/>
    </xf>
    <xf numFmtId="3" fontId="56" fillId="15" borderId="59" applyAlignment="1" pivotButton="0" quotePrefix="0" xfId="0">
      <alignment horizontal="center" vertical="center" wrapText="1"/>
    </xf>
    <xf numFmtId="3" fontId="45" fillId="14" borderId="59" applyAlignment="1" pivotButton="0" quotePrefix="0" xfId="0">
      <alignment horizontal="center" vertical="center" wrapText="1"/>
    </xf>
    <xf numFmtId="3" fontId="46" fillId="29" borderId="59" applyAlignment="1" pivotButton="0" quotePrefix="0" xfId="0">
      <alignment horizontal="center" vertical="center" wrapText="1"/>
    </xf>
    <xf numFmtId="165" fontId="47" fillId="14" borderId="5" applyAlignment="1" pivotButton="0" quotePrefix="0" xfId="0">
      <alignment horizontal="center" vertical="center" wrapText="1"/>
    </xf>
    <xf numFmtId="165" fontId="47" fillId="8" borderId="5" applyAlignment="1" pivotButton="0" quotePrefix="0" xfId="0">
      <alignment horizontal="center" vertical="center" wrapText="1"/>
    </xf>
    <xf numFmtId="165" fontId="47" fillId="9" borderId="5" applyAlignment="1" pivotButton="0" quotePrefix="0" xfId="0">
      <alignment horizontal="center" vertical="center" wrapText="1"/>
    </xf>
    <xf numFmtId="0" fontId="0" fillId="11" borderId="0" pivotButton="0" quotePrefix="0" xfId="0"/>
    <xf numFmtId="0" fontId="79" fillId="24" borderId="0" applyAlignment="1" pivotButton="0" quotePrefix="0" xfId="0">
      <alignment horizontal="center" vertical="center" wrapText="1"/>
    </xf>
    <xf numFmtId="0" fontId="0" fillId="24" borderId="0" pivotButton="0" quotePrefix="0" xfId="0"/>
    <xf numFmtId="0" fontId="79" fillId="17" borderId="0" applyAlignment="1" pivotButton="0" quotePrefix="0" xfId="0">
      <alignment horizontal="center" vertical="center" wrapText="1"/>
    </xf>
    <xf numFmtId="0" fontId="0" fillId="17" borderId="0" pivotButton="0" quotePrefix="0" xfId="0"/>
    <xf numFmtId="0" fontId="79" fillId="18" borderId="0" applyAlignment="1" pivotButton="0" quotePrefix="0" xfId="0">
      <alignment horizontal="center" vertical="center" wrapText="1"/>
    </xf>
    <xf numFmtId="0" fontId="0" fillId="18" borderId="0" pivotButton="0" quotePrefix="0" xfId="0"/>
    <xf numFmtId="0" fontId="100" fillId="9" borderId="58" applyAlignment="1" pivotButton="0" quotePrefix="0" xfId="0">
      <alignment horizontal="center" vertical="center" wrapText="1"/>
    </xf>
    <xf numFmtId="0" fontId="82" fillId="8" borderId="58" applyAlignment="1" pivotButton="0" quotePrefix="0" xfId="0">
      <alignment horizontal="center" vertical="center" wrapText="1"/>
    </xf>
    <xf numFmtId="3" fontId="83" fillId="8" borderId="58" applyAlignment="1" pivotButton="0" quotePrefix="0" xfId="0">
      <alignment horizontal="center" vertical="center" wrapText="1"/>
    </xf>
    <xf numFmtId="167" fontId="52" fillId="8" borderId="58" applyAlignment="1" pivotButton="0" quotePrefix="0" xfId="0">
      <alignment horizontal="center" vertical="center" wrapText="1"/>
    </xf>
    <xf numFmtId="3" fontId="85" fillId="8" borderId="58" applyAlignment="1" pivotButton="0" quotePrefix="0" xfId="0">
      <alignment horizontal="center" vertical="center" wrapText="1"/>
    </xf>
    <xf numFmtId="3" fontId="86" fillId="8" borderId="58" applyAlignment="1" pivotButton="0" quotePrefix="0" xfId="0">
      <alignment horizontal="center" vertical="center" wrapText="1"/>
    </xf>
    <xf numFmtId="3" fontId="87" fillId="8" borderId="58" applyAlignment="1" pivotButton="0" quotePrefix="0" xfId="0">
      <alignment horizontal="center" vertical="center" wrapText="1"/>
    </xf>
    <xf numFmtId="0" fontId="82" fillId="23" borderId="58" applyAlignment="1" pivotButton="0" quotePrefix="0" xfId="0">
      <alignment horizontal="center" vertical="center" wrapText="1"/>
    </xf>
    <xf numFmtId="3" fontId="83" fillId="23" borderId="58" applyAlignment="1" pivotButton="0" quotePrefix="0" xfId="0">
      <alignment horizontal="center" vertical="center" wrapText="1"/>
    </xf>
    <xf numFmtId="167" fontId="52" fillId="23" borderId="58" applyAlignment="1" pivotButton="0" quotePrefix="0" xfId="0">
      <alignment horizontal="center" vertical="center" wrapText="1"/>
    </xf>
    <xf numFmtId="3" fontId="85" fillId="23" borderId="58" applyAlignment="1" pivotButton="0" quotePrefix="0" xfId="0">
      <alignment horizontal="center" vertical="center" wrapText="1"/>
    </xf>
    <xf numFmtId="3" fontId="86" fillId="23" borderId="58" applyAlignment="1" pivotButton="0" quotePrefix="0" xfId="0">
      <alignment horizontal="center" vertical="center" wrapText="1"/>
    </xf>
    <xf numFmtId="3" fontId="87" fillId="23" borderId="58" applyAlignment="1" pivotButton="0" quotePrefix="0" xfId="0">
      <alignment horizontal="center" vertical="center" wrapText="1"/>
    </xf>
    <xf numFmtId="0" fontId="78" fillId="10" borderId="58" applyAlignment="1" pivotButton="0" quotePrefix="0" xfId="0">
      <alignment horizontal="center" vertical="center" wrapText="1"/>
    </xf>
    <xf numFmtId="0" fontId="0" fillId="10" borderId="58" pivotButton="0" quotePrefix="0" xfId="0"/>
    <xf numFmtId="0" fontId="79" fillId="11" borderId="3" applyAlignment="1" pivotButton="0" quotePrefix="0" xfId="0">
      <alignment horizontal="left" vertical="center" indent="1"/>
    </xf>
    <xf numFmtId="0" fontId="0" fillId="11" borderId="2" pivotButton="0" quotePrefix="0" xfId="0"/>
    <xf numFmtId="0" fontId="60" fillId="15" borderId="0" applyAlignment="1" pivotButton="0" quotePrefix="0" xfId="0">
      <alignment horizontal="left" vertical="center"/>
    </xf>
    <xf numFmtId="3" fontId="80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51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81" fillId="8" borderId="0" applyAlignment="1" pivotButton="0" quotePrefix="0" xfId="0">
      <alignment horizontal="center" vertical="center" wrapText="1"/>
    </xf>
    <xf numFmtId="0" fontId="82" fillId="8" borderId="0" applyAlignment="1" pivotButton="0" quotePrefix="0" xfId="0">
      <alignment horizontal="center" vertical="center" wrapText="1"/>
    </xf>
    <xf numFmtId="0" fontId="83" fillId="8" borderId="0" applyAlignment="1" pivotButton="0" quotePrefix="0" xfId="0">
      <alignment horizontal="center" vertical="center"/>
    </xf>
    <xf numFmtId="3" fontId="12" fillId="8" borderId="0" applyAlignment="1" pivotButton="0" quotePrefix="0" xfId="0">
      <alignment horizontal="center" vertical="center" wrapText="1"/>
    </xf>
    <xf numFmtId="0" fontId="81" fillId="23" borderId="0" applyAlignment="1" pivotButton="0" quotePrefix="0" xfId="0">
      <alignment horizontal="center" vertical="center" wrapText="1"/>
    </xf>
    <xf numFmtId="0" fontId="82" fillId="23" borderId="0" applyAlignment="1" pivotButton="0" quotePrefix="0" xfId="0">
      <alignment horizontal="center" vertical="center" wrapText="1"/>
    </xf>
    <xf numFmtId="0" fontId="83" fillId="23" borderId="0" applyAlignment="1" pivotButton="0" quotePrefix="0" xfId="0">
      <alignment horizontal="center" vertical="center"/>
    </xf>
    <xf numFmtId="3" fontId="12" fillId="23" borderId="0" applyAlignment="1" pivotButton="0" quotePrefix="0" xfId="0">
      <alignment horizontal="center" vertical="center" wrapText="1"/>
    </xf>
    <xf numFmtId="0" fontId="12" fillId="23" borderId="0" applyAlignment="1" pivotButton="0" quotePrefix="0" xfId="0">
      <alignment horizontal="center" vertical="center"/>
    </xf>
    <xf numFmtId="0" fontId="79" fillId="24" borderId="3" applyAlignment="1" pivotButton="0" quotePrefix="0" xfId="0">
      <alignment horizontal="left" vertical="center" indent="1"/>
    </xf>
    <xf numFmtId="0" fontId="0" fillId="24" borderId="2" pivotButton="0" quotePrefix="0" xfId="0"/>
    <xf numFmtId="0" fontId="60" fillId="25" borderId="0" applyAlignment="1" pivotButton="0" quotePrefix="0" xfId="0">
      <alignment horizontal="left" vertical="center"/>
    </xf>
    <xf numFmtId="3" fontId="84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85" fillId="8" borderId="0" applyAlignment="1" pivotButton="0" quotePrefix="0" xfId="0">
      <alignment horizontal="center" vertical="center"/>
    </xf>
    <xf numFmtId="0" fontId="85" fillId="23" borderId="0" applyAlignment="1" pivotButton="0" quotePrefix="0" xfId="0">
      <alignment horizontal="center" vertical="center"/>
    </xf>
    <xf numFmtId="0" fontId="79" fillId="17" borderId="3" applyAlignment="1" pivotButton="0" quotePrefix="0" xfId="0">
      <alignment horizontal="left" vertical="center" indent="1"/>
    </xf>
    <xf numFmtId="0" fontId="0" fillId="17" borderId="2" pivotButton="0" quotePrefix="0" xfId="0"/>
    <xf numFmtId="0" fontId="60" fillId="14" borderId="0" applyAlignment="1" pivotButton="0" quotePrefix="0" xfId="0">
      <alignment horizontal="left" vertical="center"/>
    </xf>
    <xf numFmtId="3" fontId="26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86" fillId="8" borderId="0" applyAlignment="1" pivotButton="0" quotePrefix="0" xfId="0">
      <alignment horizontal="center" vertical="center"/>
    </xf>
    <xf numFmtId="0" fontId="86" fillId="23" borderId="0" applyAlignment="1" pivotButton="0" quotePrefix="0" xfId="0">
      <alignment horizontal="center" vertical="center"/>
    </xf>
    <xf numFmtId="0" fontId="79" fillId="18" borderId="3" applyAlignment="1" pivotButton="0" quotePrefix="0" xfId="0">
      <alignment horizontal="left" vertical="center" indent="1"/>
    </xf>
    <xf numFmtId="0" fontId="0" fillId="18" borderId="2" pivotButton="0" quotePrefix="0" xfId="0"/>
    <xf numFmtId="0" fontId="60" fillId="12" borderId="0" applyAlignment="1" pivotButton="0" quotePrefix="0" xfId="0">
      <alignment horizontal="left" vertical="center"/>
    </xf>
    <xf numFmtId="3" fontId="22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87" fillId="8" borderId="0" applyAlignment="1" pivotButton="0" quotePrefix="0" xfId="0">
      <alignment horizontal="center" vertical="center"/>
    </xf>
    <xf numFmtId="0" fontId="87" fillId="23" borderId="0" applyAlignment="1" pivotButton="0" quotePrefix="0" xfId="0">
      <alignment horizontal="center" vertical="center"/>
    </xf>
    <xf numFmtId="0" fontId="79" fillId="26" borderId="3" applyAlignment="1" pivotButton="0" quotePrefix="0" xfId="0">
      <alignment horizontal="left" vertical="center" indent="1"/>
    </xf>
    <xf numFmtId="0" fontId="0" fillId="26" borderId="2" pivotButton="0" quotePrefix="0" xfId="0"/>
    <xf numFmtId="3" fontId="88" fillId="15" borderId="0" applyAlignment="1" pivotButton="0" quotePrefix="0" xfId="0">
      <alignment horizontal="center" vertical="center"/>
    </xf>
    <xf numFmtId="0" fontId="89" fillId="8" borderId="0" applyAlignment="1" pivotButton="0" quotePrefix="0" xfId="0">
      <alignment horizontal="center" vertical="center"/>
    </xf>
    <xf numFmtId="0" fontId="89" fillId="23" borderId="0" applyAlignment="1" pivotButton="0" quotePrefix="0" xfId="0">
      <alignment horizontal="center" vertical="center"/>
    </xf>
    <xf numFmtId="0" fontId="79" fillId="27" borderId="3" applyAlignment="1" pivotButton="0" quotePrefix="0" xfId="0">
      <alignment horizontal="left" vertical="center" indent="1"/>
    </xf>
    <xf numFmtId="0" fontId="0" fillId="27" borderId="2" pivotButton="0" quotePrefix="0" xfId="0"/>
    <xf numFmtId="0" fontId="60" fillId="28" borderId="0" applyAlignment="1" pivotButton="0" quotePrefix="0" xfId="0">
      <alignment horizontal="left" vertical="center"/>
    </xf>
    <xf numFmtId="3" fontId="90" fillId="28" borderId="0" applyAlignment="1" pivotButton="0" quotePrefix="0" xfId="0">
      <alignment horizontal="center" vertical="center"/>
    </xf>
    <xf numFmtId="0" fontId="0" fillId="28" borderId="0" pivotButton="0" quotePrefix="0" xfId="0"/>
    <xf numFmtId="0" fontId="91" fillId="8" borderId="0" applyAlignment="1" pivotButton="0" quotePrefix="0" xfId="0">
      <alignment horizontal="center" vertical="center"/>
    </xf>
    <xf numFmtId="0" fontId="91" fillId="23" borderId="0" applyAlignment="1" pivotButton="0" quotePrefix="0" xfId="0">
      <alignment horizontal="center" vertical="center"/>
    </xf>
    <xf numFmtId="0" fontId="79" fillId="20" borderId="3" applyAlignment="1" pivotButton="0" quotePrefix="0" xfId="0">
      <alignment horizontal="left" vertical="center" indent="1"/>
    </xf>
    <xf numFmtId="0" fontId="0" fillId="20" borderId="2" pivotButton="0" quotePrefix="0" xfId="0"/>
    <xf numFmtId="0" fontId="60" fillId="29" borderId="0" applyAlignment="1" pivotButton="0" quotePrefix="0" xfId="0">
      <alignment horizontal="left" vertical="center"/>
    </xf>
    <xf numFmtId="3" fontId="92" fillId="29" borderId="0" applyAlignment="1" pivotButton="0" quotePrefix="0" xfId="0">
      <alignment horizontal="center" vertical="center"/>
    </xf>
    <xf numFmtId="0" fontId="0" fillId="29" borderId="0" pivotButton="0" quotePrefix="0" xfId="0"/>
    <xf numFmtId="0" fontId="93" fillId="8" borderId="0" applyAlignment="1" pivotButton="0" quotePrefix="0" xfId="0">
      <alignment horizontal="center" vertical="center"/>
    </xf>
    <xf numFmtId="0" fontId="93" fillId="23" borderId="0" applyAlignment="1" pivotButton="0" quotePrefix="0" xfId="0">
      <alignment horizontal="center" vertical="center"/>
    </xf>
    <xf numFmtId="0" fontId="79" fillId="10" borderId="3" applyAlignment="1" pivotButton="0" quotePrefix="0" xfId="0">
      <alignment horizontal="left" vertical="center" indent="1"/>
    </xf>
    <xf numFmtId="0" fontId="0" fillId="10" borderId="2" pivotButton="0" quotePrefix="0" xfId="0"/>
    <xf numFmtId="0" fontId="51" fillId="9" borderId="0" pivotButton="0" quotePrefix="0" xfId="0"/>
    <xf numFmtId="0" fontId="0" fillId="9" borderId="0" pivotButton="0" quotePrefix="0" xfId="0"/>
    <xf numFmtId="0" fontId="83" fillId="8" borderId="0" pivotButton="0" quotePrefix="0" xfId="0"/>
    <xf numFmtId="3" fontId="0" fillId="8" borderId="0" applyAlignment="1" pivotButton="0" quotePrefix="0" xfId="0">
      <alignment horizontal="center" vertical="center" wrapText="1"/>
    </xf>
    <xf numFmtId="0" fontId="83" fillId="23" borderId="0" pivotButton="0" quotePrefix="0" xfId="0"/>
    <xf numFmtId="3" fontId="0" fillId="23" borderId="0" applyAlignment="1" pivotButton="0" quotePrefix="0" xfId="0">
      <alignment horizontal="center" vertical="center" wrapText="1"/>
    </xf>
    <xf numFmtId="0" fontId="0" fillId="23" borderId="0" pivotButton="0" quotePrefix="0" xfId="0"/>
    <xf numFmtId="3" fontId="5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/>
    </xf>
    <xf numFmtId="0" fontId="81" fillId="23" borderId="3" applyAlignment="1" pivotButton="0" quotePrefix="0" xfId="0">
      <alignment horizontal="center" vertical="center" wrapText="1"/>
    </xf>
    <xf numFmtId="0" fontId="82" fillId="23" borderId="2" applyAlignment="1" pivotButton="0" quotePrefix="0" xfId="0">
      <alignment horizontal="center" vertical="center" wrapText="1"/>
    </xf>
    <xf numFmtId="0" fontId="83" fillId="23" borderId="2" pivotButton="0" quotePrefix="0" xfId="0"/>
    <xf numFmtId="3" fontId="0" fillId="23" borderId="2" applyAlignment="1" pivotButton="0" quotePrefix="0" xfId="0">
      <alignment horizontal="center" vertical="center" wrapText="1"/>
    </xf>
    <xf numFmtId="0" fontId="0" fillId="23" borderId="2" pivotButton="0" quotePrefix="0" xfId="0"/>
    <xf numFmtId="0" fontId="8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0" customWidth="1" min="13" max="13"/>
    <col width="10" customWidth="1" min="14" max="14"/>
  </cols>
  <sheetData>
    <row r="1" ht="30" customHeight="1">
      <c r="A1" s="287" t="inlineStr">
        <is>
          <t>PROTEG-RT MUTUALIDAD</t>
        </is>
      </c>
    </row>
    <row r="2" ht="22" customHeight="1">
      <c r="A2" s="288" t="inlineStr">
        <is>
          <t>DASHBOARD — REPORTE DE COBRANZA JUNTA MENSUAL</t>
        </is>
      </c>
    </row>
    <row r="3" ht="18" customHeight="1">
      <c r="A3" s="289" t="inlineStr">
        <is>
          <t>AÑO 2026</t>
        </is>
      </c>
    </row>
    <row r="4" ht="8" customHeight="1">
      <c r="A4" s="89" t="n"/>
      <c r="B4" s="89" t="n"/>
      <c r="C4" s="89" t="n"/>
      <c r="D4" s="89" t="n"/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</row>
    <row r="5" ht="24" customHeight="1">
      <c r="A5" s="290" t="inlineStr">
        <is>
          <t>MES:</t>
        </is>
      </c>
      <c r="C5" s="291" t="inlineStr">
        <is>
          <t>FEBRERO</t>
        </is>
      </c>
      <c r="D5" s="162" t="n"/>
      <c r="E5" s="290" t="inlineStr">
        <is>
          <t>AÑO:</t>
        </is>
      </c>
      <c r="G5" s="292" t="inlineStr">
        <is>
          <t>← Cambia el mes</t>
        </is>
      </c>
      <c r="H5" s="162" t="n"/>
    </row>
    <row r="7" ht="24" customHeight="1">
      <c r="A7" s="293" t="inlineStr">
        <is>
          <t>COBRANZA
TOTAL GENERAL</t>
        </is>
      </c>
      <c r="B7" s="45" t="n"/>
      <c r="C7" s="46" t="n"/>
      <c r="D7" s="293" t="inlineStr">
        <is>
          <t>COBRANZA
RECUPERADA</t>
        </is>
      </c>
      <c r="E7" s="45" t="n"/>
      <c r="F7" s="46" t="n"/>
      <c r="G7" s="293" t="inlineStr">
        <is>
          <t>COBRANZA
EFECTIVA</t>
        </is>
      </c>
      <c r="H7" s="45" t="n"/>
      <c r="I7" s="46" t="n"/>
      <c r="J7" s="293" t="inlineStr">
        <is>
          <t>CANCELACIONES</t>
        </is>
      </c>
      <c r="K7" s="45" t="n"/>
      <c r="L7" s="46" t="n"/>
      <c r="M7" s="38" t="n"/>
      <c r="N7" s="38" t="n"/>
    </row>
    <row r="8" ht="38" customHeight="1">
      <c r="A8" s="294">
        <f>IFERROR(INDIRECT("'ESTADISTICA 2026'!B"&amp;CHOOSE(MATCH($C$5,{"ENERO","FEBRERO","MARZO","ABRIL","MAYO","JUNIO","JULIO","AGOSTO","SEPTIEMBRE","OCTUBRE","NOVIEMBRE","DICIEMBRE"},0),58,132,206,280,354,428,502,576,650,724,798,872)),"")</f>
        <v/>
      </c>
      <c r="B8" s="163" t="n"/>
      <c r="C8" s="164" t="n"/>
      <c r="D8" s="294">
        <f>IFERROR(INDIRECT("'ESTADISTICA 2026'!B"&amp;CHOOSE(MATCH($C$5,{"ENERO","FEBRERO","MARZO","ABRIL","MAYO","JUNIO","JULIO","AGOSTO","SEPTIEMBRE","OCTUBRE","NOVIEMBRE","DICIEMBRE"},0),49,123,197,271,345,419,493,567,641,715,789,863)),"")</f>
        <v/>
      </c>
      <c r="E8" s="171" t="n"/>
      <c r="F8" s="172" t="n"/>
      <c r="G8" s="295">
        <f>IFERROR(INDIRECT("'ESTADISTICA 2026'!B"&amp;CHOOSE(MATCH($C$5,{"ENERO","FEBRERO","MARZO","ABRIL","MAYO","JUNIO","JULIO","AGOSTO","SEPTIEMBRE","OCTUBRE","NOVIEMBRE","DICIEMBRE"},0),40,114,188,262,336,410,484,558,632,706,780,854)),"")</f>
        <v/>
      </c>
      <c r="H8" s="169" t="n"/>
      <c r="I8" s="170" t="n"/>
      <c r="J8" s="296">
        <f>IFERROR(INDIRECT("'ESTADISTICA 2026'!B"&amp;CHOOSE(MATCH($C$5,{"ENERO","FEBRERO","MARZO","ABRIL","MAYO","JUNIO","JULIO","AGOSTO","SEPTIEMBRE","OCTUBRE","NOVIEMBRE","DICIEMBRE"},0),17,96,170,244,318,392,466,540,614,688,762,836)),"")</f>
        <v/>
      </c>
      <c r="K8" s="165" t="n"/>
      <c r="L8" s="166" t="n"/>
      <c r="M8" s="38" t="n"/>
      <c r="N8" s="38" t="n"/>
    </row>
    <row r="9" ht="16" customHeight="1">
      <c r="A9" s="297">
        <f>IFERROR(INDIRECT("'ESTADISTICA 2026'!B"&amp;CHOOSE(MATCH($C$5,{"ENERO","FEBRERO","MARZO","ABRIL","MAYO","JUNIO","JULIO","AGOSTO","SEPTIEMBRE","OCTUBRE","NOVIEMBRE","DICIEMBRE"},0),58,132,206,280,354,428,502,576,650,724,798,872))/INDIRECT("'ESTADISTICA 2026'!B"&amp;CHOOSE(MATCH($C$5,{"ENERO","FEBRERO","MARZO","ABRIL","MAYO","JUNIO","JULIO","AGOSTO","SEPTIEMBRE","OCTUBRE","NOVIEMBRE","DICIEMBRE"},0),58,132,206,280,354,428,502,576,650,724,798,872)),"")</f>
        <v/>
      </c>
      <c r="B9" s="45" t="n"/>
      <c r="C9" s="46" t="n"/>
      <c r="D9" s="298">
        <f>IFERROR(INDIRECT("'ESTADISTICA 2026'!B"&amp;CHOOSE(MATCH($C$5,{"ENERO","FEBRERO","MARZO","ABRIL","MAYO","JUNIO","JULIO","AGOSTO","SEPTIEMBRE","OCTUBRE","NOVIEMBRE","DICIEMBRE"},0),49,123,197,271,345,419,493,567,641,715,789,863))/INDIRECT("'ESTADISTICA 2026'!B"&amp;CHOOSE(MATCH($C$5,{"ENERO","FEBRERO","MARZO","ABRIL","MAYO","JUNIO","JULIO","AGOSTO","SEPTIEMBRE","OCTUBRE","NOVIEMBRE","DICIEMBRE"},0),58,132,206,280,354,428,502,576,650,724,798,872)),"")</f>
        <v/>
      </c>
      <c r="E9" s="45" t="n"/>
      <c r="F9" s="46" t="n"/>
      <c r="G9" s="299">
        <f>IFERROR(INDIRECT("'ESTADISTICA 2026'!B"&amp;CHOOSE(MATCH($C$5,{"ENERO","FEBRERO","MARZO","ABRIL","MAYO","JUNIO","JULIO","AGOSTO","SEPTIEMBRE","OCTUBRE","NOVIEMBRE","DICIEMBRE"},0),40,114,188,262,336,410,484,558,632,706,780,854))/INDIRECT("'ESTADISTICA 2026'!B"&amp;CHOOSE(MATCH($C$5,{"ENERO","FEBRERO","MARZO","ABRIL","MAYO","JUNIO","JULIO","AGOSTO","SEPTIEMBRE","OCTUBRE","NOVIEMBRE","DICIEMBRE"},0),58,132,206,280,354,428,502,576,650,724,798,872)),"")</f>
        <v/>
      </c>
      <c r="H9" s="45" t="n"/>
      <c r="I9" s="46" t="n"/>
      <c r="J9" s="300">
        <f>IFERROR(INDIRECT("'ESTADISTICA 2026'!B"&amp;CHOOSE(MATCH($C$5,{"ENERO","FEBRERO","MARZO","ABRIL","MAYO","JUNIO","JULIO","AGOSTO","SEPTIEMBRE","OCTUBRE","NOVIEMBRE","DICIEMBRE"},0),17,96,170,244,318,392,466,540,614,688,762,836))/INDIRECT("'ESTADISTICA 2026'!B"&amp;CHOOSE(MATCH($C$5,{"ENERO","FEBRERO","MARZO","ABRIL","MAYO","JUNIO","JULIO","AGOSTO","SEPTIEMBRE","OCTUBRE","NOVIEMBRE","DICIEMBRE"},0),58,132,206,280,354,428,502,576,650,724,798,872)),"")</f>
        <v/>
      </c>
      <c r="K9" s="45" t="n"/>
      <c r="L9" s="46" t="n"/>
      <c r="M9" s="38" t="n"/>
      <c r="N9" s="38" t="n"/>
    </row>
    <row r="10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24" customHeight="1">
      <c r="A11" s="301" t="inlineStr">
        <is>
          <t>COBRANZA
CORRIENTE</t>
        </is>
      </c>
      <c r="B11" s="45" t="n"/>
      <c r="C11" s="46" t="n"/>
      <c r="D11" s="301" t="inlineStr">
        <is>
          <t>COBRANZA
VENCIDA</t>
        </is>
      </c>
      <c r="E11" s="45" t="n"/>
      <c r="F11" s="46" t="n"/>
      <c r="G11" s="301" t="inlineStr">
        <is>
          <t>COBRANZA
ANTICIPADA</t>
        </is>
      </c>
      <c r="H11" s="45" t="n"/>
      <c r="I11" s="46" t="n"/>
      <c r="J11" s="301" t="inlineStr">
        <is>
          <t>PROYECCION
SIG. MES</t>
        </is>
      </c>
      <c r="K11" s="45" t="n"/>
      <c r="L11" s="46" t="n"/>
      <c r="M11" s="38" t="n"/>
      <c r="N11" s="38" t="n"/>
    </row>
    <row r="12" ht="38" customHeight="1">
      <c r="A12" s="302">
        <f>IFERROR(INDIRECT("'ESTADISTICA 2026'!B"&amp;CHOOSE(MATCH($C$5,{"ENERO","FEBRERO","MARZO","ABRIL","MAYO","JUNIO","JULIO","AGOSTO","SEPTIEMBRE","OCTUBRE","NOVIEMBRE","DICIEMBRE"},0),11,87,161,235,309,383,457,531,605,679,753,827)),"")</f>
        <v/>
      </c>
      <c r="B12" s="163" t="n"/>
      <c r="C12" s="164" t="n"/>
      <c r="D12" s="303">
        <f>IFERROR(INDIRECT("'ESTADISTICA 2026'!B"&amp;CHOOSE(MATCH($C$5,{"ENERO","FEBRERO","MARZO","ABRIL","MAYO","JUNIO","JULIO","AGOSTO","SEPTIEMBRE","OCTUBRE","NOVIEMBRE","DICIEMBRE"},0),31,105,179,253,327,401,475,549,623,697,771,845)),"")</f>
        <v/>
      </c>
      <c r="E12" s="167" t="n"/>
      <c r="F12" s="168" t="n"/>
      <c r="G12" s="304">
        <f>IFERROR(INDIRECT("'ESTADISTICA 2026'!B"&amp;CHOOSE(MATCH($C$5,{"ENERO","FEBRERO","MARZO","ABRIL","MAYO","JUNIO","JULIO","AGOSTO","SEPTIEMBRE","OCTUBRE","NOVIEMBRE","DICIEMBRE"},0),1,141,215,289,363,437,511,585,659,733,807,881)),"")</f>
        <v/>
      </c>
      <c r="H12" s="173" t="n"/>
      <c r="I12" s="174" t="n"/>
      <c r="J12" s="302">
        <f>IFERROR(INDIRECT("'ESTADISTICA 2026'!B"&amp;CHOOSE(MATCH($C$5,{"ENERO","FEBRERO","MARZO","ABRIL","MAYO","JUNIO","JULIO","AGOSTO","SEPTIEMBRE","OCTUBRE","NOVIEMBRE","DICIEMBRE"},0),76,150,224,298,372,446,520,594,668,742,816,890)),"")</f>
        <v/>
      </c>
      <c r="K12" s="175" t="n"/>
      <c r="L12" s="162" t="n"/>
      <c r="M12" s="38" t="n"/>
      <c r="N12" s="38" t="n"/>
    </row>
    <row r="13" ht="16" customHeight="1">
      <c r="A13" s="297">
        <f>IFERROR(INDIRECT("'ESTADISTICA 2026'!B"&amp;CHOOSE(MATCH($C$5,{"ENERO","FEBRERO","MARZO","ABRIL","MAYO","JUNIO","JULIO","AGOSTO","SEPTIEMBRE","OCTUBRE","NOVIEMBRE","DICIEMBRE"},0),11,87,161,235,309,383,457,531,605,679,753,827))/INDIRECT("'ESTADISTICA 2026'!B"&amp;CHOOSE(MATCH($C$5,{"ENERO","FEBRERO","MARZO","ABRIL","MAYO","JUNIO","JULIO","AGOSTO","SEPTIEMBRE","OCTUBRE","NOVIEMBRE","DICIEMBRE"},0),58,132,206,280,354,428,502,576,650,724,798,872)),"")</f>
        <v/>
      </c>
      <c r="B13" s="45" t="n"/>
      <c r="C13" s="46" t="n"/>
      <c r="D13" s="305">
        <f>IFERROR(INDIRECT("'ESTADISTICA 2026'!B"&amp;CHOOSE(MATCH($C$5,{"ENERO","FEBRERO","MARZO","ABRIL","MAYO","JUNIO","JULIO","AGOSTO","SEPTIEMBRE","OCTUBRE","NOVIEMBRE","DICIEMBRE"},0),31,105,179,253,327,401,475,549,623,697,771,845))/INDIRECT("'ESTADISTICA 2026'!B"&amp;CHOOSE(MATCH($C$5,{"ENERO","FEBRERO","MARZO","ABRIL","MAYO","JUNIO","JULIO","AGOSTO","SEPTIEMBRE","OCTUBRE","NOVIEMBRE","DICIEMBRE"},0),58,132,206,280,354,428,502,576,650,724,798,872)),"")</f>
        <v/>
      </c>
      <c r="E13" s="45" t="n"/>
      <c r="F13" s="46" t="n"/>
      <c r="G13" s="306">
        <f>IFERROR(INDIRECT("'ESTADISTICA 2026'!B"&amp;CHOOSE(MATCH($C$5,{"ENERO","FEBRERO","MARZO","ABRIL","MAYO","JUNIO","JULIO","AGOSTO","SEPTIEMBRE","OCTUBRE","NOVIEMBRE","DICIEMBRE"},0),1,141,215,289,363,437,511,585,659,733,807,881))/INDIRECT("'ESTADISTICA 2026'!B"&amp;CHOOSE(MATCH($C$5,{"ENERO","FEBRERO","MARZO","ABRIL","MAYO","JUNIO","JULIO","AGOSTO","SEPTIEMBRE","OCTUBRE","NOVIEMBRE","DICIEMBRE"},0),58,132,206,280,354,428,502,576,650,724,798,872)),"")</f>
        <v/>
      </c>
      <c r="H13" s="45" t="n"/>
      <c r="I13" s="46" t="n"/>
      <c r="J13" s="307">
        <f>IFERROR(INDIRECT("'ESTADISTICA 2026'!B"&amp;CHOOSE(MATCH($C$5,{"ENERO","FEBRERO","MARZO","ABRIL","MAYO","JUNIO","JULIO","AGOSTO","SEPTIEMBRE","OCTUBRE","NOVIEMBRE","DICIEMBRE"},0),76,150,224,298,372,446,520,594,668,742,816,890))/INDIRECT("'ESTADISTICA 2026'!B"&amp;CHOOSE(MATCH($C$5,{"ENERO","FEBRERO","MARZO","ABRIL","MAYO","JUNIO","JULIO","AGOSTO","SEPTIEMBRE","OCTUBRE","NOVIEMBRE","DICIEMBRE"},0),58,132,206,280,354,428,502,576,650,724,798,872)),"")</f>
        <v/>
      </c>
      <c r="K13" s="45" t="n"/>
      <c r="L13" s="46" t="n"/>
      <c r="M13" s="38" t="n"/>
      <c r="N13" s="38" t="n"/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</row>
    <row r="15" ht="8" customHeight="1">
      <c r="A15" s="238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6" t="n"/>
    </row>
    <row r="16" ht="22" customHeight="1">
      <c r="A16" s="113" t="inlineStr">
        <is>
          <t>CONCENTRADO GENERAL — DISTRIBUCIÓN DEL MES</t>
        </is>
      </c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  <c r="N16" s="115" t="n"/>
    </row>
    <row r="17" ht="18" customHeight="1">
      <c r="A17" s="116" t="inlineStr">
        <is>
          <t>CONCEPTO</t>
        </is>
      </c>
      <c r="B17" s="116" t="inlineStr">
        <is>
          <t>TOTAL ($)</t>
        </is>
      </c>
      <c r="C17" s="38" t="n"/>
      <c r="D17" s="116" t="inlineStr">
        <is>
          <t>% PARTICIP.</t>
        </is>
      </c>
      <c r="E17" s="38" t="n"/>
      <c r="F17" s="116" t="inlineStr">
        <is>
          <t>ESTATUS</t>
        </is>
      </c>
      <c r="G17" s="38" t="n"/>
      <c r="H17" s="38" t="n"/>
      <c r="I17" s="38" t="n"/>
      <c r="J17" s="38" t="n"/>
      <c r="K17" s="38" t="n"/>
      <c r="L17" s="38" t="n"/>
      <c r="M17" s="38" t="n"/>
      <c r="N17" s="38" t="n"/>
    </row>
    <row r="18" ht="18" customHeight="1">
      <c r="A18" s="176" t="inlineStr">
        <is>
          <t>COBRANZA TOTAL GENERAL</t>
        </is>
      </c>
      <c r="B18" s="177">
        <f>IFERROR(INDIRECT("'ESTADISTICA 2026'!B"&amp;CHOOSE(MATCH($C$5,{"ENERO","FEBRERO","MARZO","ABRIL","MAYO","JUNIO","JULIO","AGOSTO","SEPTIEMBRE","OCTUBRE","NOVIEMBRE","DICIEMBRE"},0),58,132,206,280,354,428,502,576,650,724,798,872)),"")</f>
        <v/>
      </c>
      <c r="C18" s="38" t="n"/>
      <c r="D18" s="281">
        <f>B18/B23</f>
        <v/>
      </c>
      <c r="E18" s="38" t="n"/>
      <c r="F18" s="179" t="inlineStr">
        <is>
          <t>Base del periodo</t>
        </is>
      </c>
      <c r="G18" s="38" t="n"/>
      <c r="H18" s="38" t="n"/>
      <c r="I18" s="38" t="n"/>
      <c r="J18" s="38" t="n"/>
      <c r="K18" s="38" t="n"/>
      <c r="L18" s="38" t="n"/>
      <c r="M18" s="38" t="n"/>
      <c r="N18" s="38" t="n"/>
    </row>
    <row r="19" ht="18" customHeight="1">
      <c r="A19" s="180" t="inlineStr">
        <is>
          <t>COBRANZA RECUPERADA</t>
        </is>
      </c>
      <c r="B19" s="181">
        <f>IFERROR(INDIRECT("'ESTADISTICA 2026'!B"&amp;CHOOSE(MATCH($C$5,{"ENERO","FEBRERO","MARZO","ABRIL","MAYO","JUNIO","JULIO","AGOSTO","SEPTIEMBRE","OCTUBRE","NOVIEMBRE","DICIEMBRE"},0),49,123,197,271,345,419,493,567,641,715,789,863)),"")</f>
        <v/>
      </c>
      <c r="C19" s="38" t="n"/>
      <c r="D19" s="282">
        <f>B19/B23</f>
        <v/>
      </c>
      <c r="E19" s="38" t="n"/>
      <c r="F19" s="183" t="inlineStr">
        <is>
          <t>Acumulado del mes</t>
        </is>
      </c>
      <c r="G19" s="38" t="n"/>
      <c r="H19" s="38" t="n"/>
      <c r="I19" s="38" t="n"/>
      <c r="J19" s="38" t="n"/>
      <c r="K19" s="38" t="n"/>
      <c r="L19" s="38" t="n"/>
      <c r="M19" s="38" t="n"/>
      <c r="N19" s="38" t="n"/>
    </row>
    <row r="20" ht="18" customHeight="1">
      <c r="A20" s="184" t="inlineStr">
        <is>
          <t>COBRANZA EFECTIVA</t>
        </is>
      </c>
      <c r="B20" s="185">
        <f>IFERROR(INDIRECT("'ESTADISTICA 2026'!B"&amp;CHOOSE(MATCH($C$5,{"ENERO","FEBRERO","MARZO","ABRIL","MAYO","JUNIO","JULIO","AGOSTO","SEPTIEMBRE","OCTUBRE","NOVIEMBRE","DICIEMBRE"},0),40,114,188,262,336,410,484,558,632,706,780,854)),"")</f>
        <v/>
      </c>
      <c r="C20" s="38" t="n"/>
      <c r="D20" s="283">
        <f>B20/B23</f>
        <v/>
      </c>
      <c r="E20" s="38" t="n"/>
      <c r="F20" s="187" t="inlineStr">
        <is>
          <t>Cobrado en el mes</t>
        </is>
      </c>
      <c r="G20" s="38" t="n"/>
      <c r="H20" s="38" t="n"/>
      <c r="I20" s="38" t="n"/>
      <c r="J20" s="38" t="n"/>
      <c r="K20" s="38" t="n"/>
      <c r="L20" s="38" t="n"/>
      <c r="M20" s="38" t="n"/>
      <c r="N20" s="38" t="n"/>
    </row>
    <row r="21" ht="18" customHeight="1">
      <c r="A21" s="188" t="inlineStr">
        <is>
          <t>CANCELACIONES</t>
        </is>
      </c>
      <c r="B21" s="189">
        <f>IFERROR(INDIRECT("'ESTADISTICA 2026'!B"&amp;CHOOSE(MATCH($C$5,{"ENERO","FEBRERO","MARZO","ABRIL","MAYO","JUNIO","JULIO","AGOSTO","SEPTIEMBRE","OCTUBRE","NOVIEMBRE","DICIEMBRE"},0),17,96,170,244,318,392,466,540,614,688,762,836)),"")</f>
        <v/>
      </c>
      <c r="C21" s="38" t="n"/>
      <c r="D21" s="284">
        <f>B21/B23</f>
        <v/>
      </c>
      <c r="E21" s="38" t="n"/>
      <c r="F21" s="191" t="inlineStr">
        <is>
          <t>Pendiente</t>
        </is>
      </c>
      <c r="G21" s="38" t="n"/>
      <c r="H21" s="38" t="n"/>
      <c r="I21" s="38" t="n"/>
      <c r="J21" s="38" t="n"/>
      <c r="K21" s="38" t="n"/>
      <c r="L21" s="38" t="n"/>
      <c r="M21" s="38" t="n"/>
      <c r="N21" s="38" t="n"/>
    </row>
    <row r="22" ht="18" customHeight="1">
      <c r="A22" s="192" t="inlineStr">
        <is>
          <t>COBRANZA VENCIDA</t>
        </is>
      </c>
      <c r="B22" s="193">
        <f>IFERROR(INDIRECT("'ESTADISTICA 2026'!B"&amp;CHOOSE(MATCH($C$5,{"ENERO","FEBRERO","MARZO","ABRIL","MAYO","JUNIO","JULIO","AGOSTO","SEPTIEMBRE","OCTUBRE","NOVIEMBRE","DICIEMBRE"},0),31,105,179,253,327,401,475,549,623,697,771,845)),"")</f>
        <v/>
      </c>
      <c r="C22" s="38" t="n"/>
      <c r="D22" s="285">
        <f>B22/B23</f>
        <v/>
      </c>
      <c r="E22" s="38" t="n"/>
      <c r="F22" s="195" t="inlineStr">
        <is>
          <t>En riesgo</t>
        </is>
      </c>
      <c r="G22" s="38" t="n"/>
      <c r="H22" s="38" t="n"/>
      <c r="I22" s="38" t="n"/>
      <c r="J22" s="38" t="n"/>
      <c r="K22" s="38" t="n"/>
      <c r="L22" s="38" t="n"/>
      <c r="M22" s="38" t="n"/>
      <c r="N22" s="38" t="n"/>
    </row>
    <row r="23" ht="22" customHeight="1">
      <c r="A23" s="196" t="inlineStr">
        <is>
          <t>TOTAL ACUMULADO</t>
        </is>
      </c>
      <c r="B23" s="197">
        <f>B18+B19+B20+B21+B22</f>
        <v/>
      </c>
      <c r="C23" s="130" t="n"/>
      <c r="D23" s="286">
        <f>B23/B23</f>
        <v/>
      </c>
      <c r="E23" s="130" t="n"/>
      <c r="F23" s="199" t="inlineStr">
        <is>
          <t>Suma de todos los conceptos</t>
        </is>
      </c>
      <c r="G23" s="130" t="n"/>
      <c r="H23" s="130" t="n"/>
      <c r="I23" s="130" t="n"/>
      <c r="J23" s="130" t="n"/>
      <c r="K23" s="130" t="n"/>
      <c r="L23" s="130" t="n"/>
      <c r="M23" s="130" t="n"/>
      <c r="N23" s="130" t="n"/>
    </row>
    <row r="24" ht="22" customHeight="1">
      <c r="A24" s="239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6" t="n"/>
    </row>
    <row r="25" ht="20" customHeight="1">
      <c r="A25" s="290" t="inlineStr">
        <is>
          <t>COBRANZA CORRIENTE</t>
        </is>
      </c>
      <c r="B25" s="308" t="n"/>
      <c r="C25" s="308" t="n"/>
      <c r="E25" s="309" t="inlineStr">
        <is>
          <t>CANCELACIONES</t>
        </is>
      </c>
      <c r="F25" s="310" t="n"/>
      <c r="G25" s="310" t="n"/>
      <c r="I25" s="311" t="inlineStr">
        <is>
          <t>COBRANZA VENCIDA</t>
        </is>
      </c>
      <c r="J25" s="312" t="n"/>
      <c r="K25" s="312" t="n"/>
      <c r="M25" s="313" t="inlineStr">
        <is>
          <t>COBRANZA EFECTIVA</t>
        </is>
      </c>
      <c r="N25" s="314" t="n"/>
      <c r="O25" s="314" t="n"/>
    </row>
    <row r="26" ht="15" customHeight="1">
      <c r="A26" s="315" t="inlineStr">
        <is>
          <t>LUGAR</t>
        </is>
      </c>
      <c r="B26" s="315" t="inlineStr">
        <is>
          <t>VENDEDOR</t>
        </is>
      </c>
      <c r="C26" s="315" t="inlineStr">
        <is>
          <t>MONTO</t>
        </is>
      </c>
      <c r="E26" s="315" t="inlineStr">
        <is>
          <t>LUGAR</t>
        </is>
      </c>
      <c r="F26" s="315" t="inlineStr">
        <is>
          <t>VENDEDOR</t>
        </is>
      </c>
      <c r="G26" s="315" t="inlineStr">
        <is>
          <t>MONTO</t>
        </is>
      </c>
      <c r="I26" s="315" t="inlineStr">
        <is>
          <t>LUGAR</t>
        </is>
      </c>
      <c r="J26" s="315" t="inlineStr">
        <is>
          <t>VENDEDOR</t>
        </is>
      </c>
      <c r="K26" s="315" t="inlineStr">
        <is>
          <t>MONTO</t>
        </is>
      </c>
      <c r="M26" s="315" t="inlineStr">
        <is>
          <t>LUGAR</t>
        </is>
      </c>
      <c r="N26" s="315" t="inlineStr">
        <is>
          <t>VENDEDOR</t>
        </is>
      </c>
      <c r="O26" s="315" t="inlineStr">
        <is>
          <t>MONTO</t>
        </is>
      </c>
    </row>
    <row r="27" ht="16" customHeight="1">
      <c r="A27" s="316" t="inlineStr">
        <is>
          <t>1er</t>
        </is>
      </c>
      <c r="B27" s="317" t="inlineStr">
        <is>
          <t>V6</t>
        </is>
      </c>
      <c r="C27" s="318" t="n">
        <v>356324</v>
      </c>
      <c r="E27" s="316" t="inlineStr">
        <is>
          <t>1er</t>
        </is>
      </c>
      <c r="F27" s="319" t="inlineStr">
        <is>
          <t>V38</t>
        </is>
      </c>
      <c r="G27" s="318" t="n">
        <v>21035</v>
      </c>
      <c r="I27" s="316" t="inlineStr">
        <is>
          <t>1er</t>
        </is>
      </c>
      <c r="J27" s="320" t="inlineStr">
        <is>
          <t>V39 JOSE</t>
        </is>
      </c>
      <c r="K27" s="318" t="n">
        <v>70796.5</v>
      </c>
      <c r="M27" s="316" t="inlineStr">
        <is>
          <t>1er</t>
        </is>
      </c>
      <c r="N27" s="321" t="inlineStr">
        <is>
          <t>EDGAR</t>
        </is>
      </c>
      <c r="O27" s="318" t="n">
        <v>150839</v>
      </c>
    </row>
    <row r="28" ht="16" customHeight="1">
      <c r="A28" s="322" t="inlineStr">
        <is>
          <t>2o</t>
        </is>
      </c>
      <c r="B28" s="323" t="inlineStr">
        <is>
          <t>V1</t>
        </is>
      </c>
      <c r="C28" s="324" t="n">
        <v>297307</v>
      </c>
      <c r="E28" s="322" t="inlineStr">
        <is>
          <t>2o</t>
        </is>
      </c>
      <c r="F28" s="325" t="inlineStr">
        <is>
          <t>V56</t>
        </is>
      </c>
      <c r="G28" s="324" t="n">
        <v>17664</v>
      </c>
      <c r="I28" s="322" t="inlineStr">
        <is>
          <t>2o</t>
        </is>
      </c>
      <c r="J28" s="326" t="inlineStr">
        <is>
          <t>JORGE</t>
        </is>
      </c>
      <c r="K28" s="324" t="n">
        <v>40169</v>
      </c>
      <c r="M28" s="322" t="inlineStr">
        <is>
          <t>2o</t>
        </is>
      </c>
      <c r="N28" s="327" t="inlineStr">
        <is>
          <t>FRANCISCO</t>
        </is>
      </c>
      <c r="O28" s="324" t="n">
        <v>140739</v>
      </c>
    </row>
    <row r="29" ht="16" customHeight="1">
      <c r="A29" s="316" t="inlineStr">
        <is>
          <t>3o</t>
        </is>
      </c>
      <c r="B29" s="317" t="inlineStr">
        <is>
          <t>V38</t>
        </is>
      </c>
      <c r="C29" s="318" t="n">
        <v>241116</v>
      </c>
      <c r="E29" s="316" t="inlineStr">
        <is>
          <t>3o</t>
        </is>
      </c>
      <c r="F29" s="319" t="inlineStr">
        <is>
          <t>V6</t>
        </is>
      </c>
      <c r="G29" s="318" t="n">
        <v>15924</v>
      </c>
      <c r="I29" s="316" t="inlineStr">
        <is>
          <t>3er</t>
        </is>
      </c>
      <c r="J29" s="320" t="inlineStr">
        <is>
          <t>EDGAR</t>
        </is>
      </c>
      <c r="K29" s="318" t="n">
        <v>35046</v>
      </c>
      <c r="M29" s="316" t="inlineStr">
        <is>
          <t>3o</t>
        </is>
      </c>
      <c r="N29" s="321" t="inlineStr">
        <is>
          <t>EDUARDO</t>
        </is>
      </c>
      <c r="O29" s="318" t="n">
        <v>91742</v>
      </c>
    </row>
    <row r="30" ht="16" customHeight="1">
      <c r="A30" s="322" t="inlineStr">
        <is>
          <t>4o</t>
        </is>
      </c>
      <c r="B30" s="323" t="inlineStr">
        <is>
          <t>V39</t>
        </is>
      </c>
      <c r="C30" s="324" t="n">
        <v>176093</v>
      </c>
      <c r="E30" s="322" t="inlineStr">
        <is>
          <t>4o</t>
        </is>
      </c>
      <c r="F30" s="325" t="inlineStr">
        <is>
          <t>V84</t>
        </is>
      </c>
      <c r="G30" s="324" t="n">
        <v>14374</v>
      </c>
      <c r="I30" s="322" t="inlineStr">
        <is>
          <t>4o</t>
        </is>
      </c>
      <c r="J30" s="326" t="inlineStr">
        <is>
          <t>FRANCISCO</t>
        </is>
      </c>
      <c r="K30" s="324" t="n">
        <v>34647</v>
      </c>
      <c r="M30" s="322" t="inlineStr">
        <is>
          <t>4o</t>
        </is>
      </c>
      <c r="N30" s="327" t="inlineStr">
        <is>
          <t>JORGE</t>
        </is>
      </c>
      <c r="O30" s="324" t="n">
        <v>88710</v>
      </c>
    </row>
    <row r="31" ht="16" customHeight="1">
      <c r="A31" s="316" t="inlineStr">
        <is>
          <t>5o</t>
        </is>
      </c>
      <c r="B31" s="317" t="inlineStr">
        <is>
          <t>V56</t>
        </is>
      </c>
      <c r="C31" s="318" t="n">
        <v>130775</v>
      </c>
      <c r="E31" s="316" t="inlineStr">
        <is>
          <t>5o</t>
        </is>
      </c>
      <c r="F31" s="319" t="inlineStr">
        <is>
          <t>V1</t>
        </is>
      </c>
      <c r="G31" s="318" t="n">
        <v>13188</v>
      </c>
      <c r="I31" s="316" t="inlineStr">
        <is>
          <t>5o</t>
        </is>
      </c>
      <c r="J31" s="320" t="inlineStr">
        <is>
          <t>DEPOSITO</t>
        </is>
      </c>
      <c r="K31" s="318" t="n">
        <v>24103.81</v>
      </c>
      <c r="M31" s="316" t="inlineStr">
        <is>
          <t>5o</t>
        </is>
      </c>
      <c r="N31" s="321" t="inlineStr">
        <is>
          <t>OFICINA</t>
        </is>
      </c>
      <c r="O31" s="318" t="n">
        <v>28000</v>
      </c>
    </row>
    <row r="36" ht="8" customHeight="1">
      <c r="A36" s="89" t="n"/>
      <c r="B36" s="89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</row>
    <row r="37" ht="22" customHeight="1">
      <c r="A37" s="113" t="inlineStr">
        <is>
          <t>TENDENCIA MENSUAL — EVOLUCIÓN POR MES</t>
        </is>
      </c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  <c r="N37" s="115" t="n"/>
    </row>
    <row r="38" ht="18" customHeight="1">
      <c r="A38" s="116" t="inlineStr">
        <is>
          <t>MES</t>
        </is>
      </c>
      <c r="B38" s="116" t="inlineStr">
        <is>
          <t>EFECTIVA ($)</t>
        </is>
      </c>
      <c r="C38" s="116" t="inlineStr">
        <is>
          <t>VENCIDA ($)</t>
        </is>
      </c>
      <c r="D38" s="116" t="inlineStr">
        <is>
          <t>RECUPERADA ($)</t>
        </is>
      </c>
      <c r="E38" s="116" t="inlineStr">
        <is>
          <t>TOTAL GRAL ($)</t>
        </is>
      </c>
    </row>
    <row r="39" ht="18" customHeight="1">
      <c r="A39" s="156" t="inlineStr">
        <is>
          <t>ENE 2026</t>
        </is>
      </c>
      <c r="B39" s="157" t="n">
        <v>1228968</v>
      </c>
      <c r="C39" s="157" t="n">
        <v>166220</v>
      </c>
      <c r="D39" s="157" t="n">
        <v>115277</v>
      </c>
      <c r="E39" s="157" t="n">
        <v>1408644</v>
      </c>
    </row>
    <row r="40">
      <c r="A40" t="inlineStr">
        <is>
          <t>FEB 2026</t>
        </is>
      </c>
      <c r="B40" t="n">
        <v>1110578</v>
      </c>
      <c r="C40" t="n">
        <v>251487.31</v>
      </c>
      <c r="D40" t="n">
        <v>94027</v>
      </c>
      <c r="E40" t="n">
        <v>1251614</v>
      </c>
    </row>
    <row r="41" ht="16" customHeight="1">
      <c r="A41" s="158" t="inlineStr">
        <is>
          <t>Los datos de meses adicionales se integran automaticamente al cargar cada mes en la plantilla principal.</t>
        </is>
      </c>
    </row>
    <row r="43" ht="16" customHeight="1">
      <c r="A43" s="216" t="inlineStr">
        <is>
          <t>PROTEG-RT MUTUALIDAD  |  Gerencia de Cobranza  |  Reporte Mensual — Luna Dashboard</t>
        </is>
      </c>
    </row>
  </sheetData>
  <mergeCells count="41">
    <mergeCell ref="A25:C25"/>
    <mergeCell ref="D11:F11"/>
    <mergeCell ref="D13:F13"/>
    <mergeCell ref="G13:I13"/>
    <mergeCell ref="A24:N24"/>
    <mergeCell ref="C5:D5"/>
    <mergeCell ref="A15:N15"/>
    <mergeCell ref="E5:F5"/>
    <mergeCell ref="M25:O25"/>
    <mergeCell ref="D7:F7"/>
    <mergeCell ref="A12:C12"/>
    <mergeCell ref="J11:L11"/>
    <mergeCell ref="A1:N1"/>
    <mergeCell ref="J7:L7"/>
    <mergeCell ref="A8:C8"/>
    <mergeCell ref="A16:N16"/>
    <mergeCell ref="D12:F12"/>
    <mergeCell ref="D9:F9"/>
    <mergeCell ref="A41:N41"/>
    <mergeCell ref="J12:L12"/>
    <mergeCell ref="D8:F8"/>
    <mergeCell ref="A37:N37"/>
    <mergeCell ref="E25:G25"/>
    <mergeCell ref="A3:N3"/>
    <mergeCell ref="A13:C13"/>
    <mergeCell ref="A2:N2"/>
    <mergeCell ref="A5:B5"/>
    <mergeCell ref="G5:H5"/>
    <mergeCell ref="A9:C9"/>
    <mergeCell ref="G9:I9"/>
    <mergeCell ref="J8:L8"/>
    <mergeCell ref="G12:I12"/>
    <mergeCell ref="G11:I11"/>
    <mergeCell ref="A11:C11"/>
    <mergeCell ref="J13:L13"/>
    <mergeCell ref="G8:I8"/>
    <mergeCell ref="A43:N43"/>
    <mergeCell ref="J9:L9"/>
    <mergeCell ref="A7:C7"/>
    <mergeCell ref="G7:I7"/>
    <mergeCell ref="I25:K25"/>
  </mergeCells>
  <dataValidations count="1">
    <dataValidation sqref="C5" showDropDown="0" showInputMessage="0" showErrorMessage="0" allowBlank="0" errorTitle="Mes inválido" error="Selecciona un mes" type="list">
      <formula1>"ENERO,FEBRERO,MARZO,ABRIL,MAYO,JUNIO,JULIO,AGOSTO,SEPTIEMBRE,OCTUBRE,NOVIEMBRE,DICIEMBRE"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35" customWidth="1" min="4" max="4"/>
    <col width="22" customWidth="1" min="5" max="5"/>
  </cols>
  <sheetData>
    <row r="1" ht="30" customHeight="1">
      <c r="A1" s="202" t="inlineStr">
        <is>
          <t>PROTEG-RT MUTUALIDAD</t>
        </is>
      </c>
    </row>
    <row r="2" ht="22" customHeight="1">
      <c r="A2" s="203" t="inlineStr">
        <is>
          <t>GUÍA DE KPIs — DICCIONARIO DE MÉTRICAS DE COBRANZA</t>
        </is>
      </c>
    </row>
    <row r="3" ht="18" customHeight="1">
      <c r="A3" s="204" t="inlineStr">
        <is>
          <t>AÑO 2026</t>
        </is>
      </c>
    </row>
    <row r="4" ht="8" customHeight="1">
      <c r="A4" s="89" t="n"/>
      <c r="B4" s="89" t="n"/>
      <c r="C4" s="89" t="n"/>
      <c r="D4" s="89" t="n"/>
      <c r="E4" s="89" t="n"/>
    </row>
    <row r="5" ht="40" customHeight="1">
      <c r="A5" s="205" t="inlineStr">
        <is>
          <t>Este documento describe cada KPI del Dashboard y Plantilla de Estadísticas. Sirve como guía para interpretar los datos y entender cómo se calcula cada métrica. Cada KPI corresponde a una sección del reporte mensual de cobranza.</t>
        </is>
      </c>
    </row>
    <row r="7" ht="20" customHeight="1">
      <c r="A7" s="206" t="inlineStr">
        <is>
          <t>MÉTRICA</t>
        </is>
      </c>
      <c r="B7" s="206" t="inlineStr">
        <is>
          <t>TOTAL ($) — ENE 2026</t>
        </is>
      </c>
      <c r="C7" s="206" t="inlineStr">
        <is>
          <t>DESCRIPCIÓN</t>
        </is>
      </c>
      <c r="D7" s="206" t="inlineStr">
        <is>
          <t>¿CÓMO SE INTERPRETA?</t>
        </is>
      </c>
      <c r="E7" s="206" t="inlineStr">
        <is>
          <t>FÓRMULA / FUENTE</t>
        </is>
      </c>
    </row>
    <row r="8" ht="50" customHeight="1">
      <c r="A8" s="207" t="inlineStr">
        <is>
          <t>COBRANZA TOTAL GENERAL</t>
        </is>
      </c>
      <c r="B8" s="208" t="inlineStr">
        <is>
          <t>$1,408,644</t>
        </is>
      </c>
      <c r="C8" s="209" t="inlineStr">
        <is>
          <t>Es el monto total de toda la facturación emitida en el mes. Incluye todos los contratos nuevos y renovaciones generados en el periodo.</t>
        </is>
      </c>
      <c r="D8" s="209" t="inlineStr">
        <is>
          <t>Representa el universo completo de facturación. Es el punto de partida para calcular todos los demás porcentajes de eficiencia.</t>
        </is>
      </c>
      <c r="E8" s="210">
        <f> Suma de TOTAL GENERAL (columna Z/AA del reporte). Se toma sin filtro de STATUS.</f>
        <v/>
      </c>
    </row>
    <row r="9" ht="50" customHeight="1">
      <c r="A9" s="211" t="inlineStr">
        <is>
          <t>COBRANZA RECUPERADA</t>
        </is>
      </c>
      <c r="B9" s="212" t="inlineStr">
        <is>
          <t>$115,277</t>
        </is>
      </c>
      <c r="C9" s="213" t="inlineStr">
        <is>
          <t>Son las cuentas que estavam vencidas (atrasadas de meses anteriores) y que en este mes lograron recuperase mediante pago.</t>
        </is>
      </c>
      <c r="D9" s="213" t="inlineStr">
        <is>
          <t>Un valor alto indica que se está haciendo buen trabajo de cobranza sobre cartera vieja. Meta: maximizar este indicador.</t>
        </is>
      </c>
      <c r="E9" s="214">
        <f> Suma de MONTO (columna AV) en apartado RECUPERADA, sin filtro STATUS. Top 5 agrupa por COBRADO (columna BA).</f>
        <v/>
      </c>
    </row>
    <row r="10" ht="50" customHeight="1">
      <c r="A10" s="207" t="inlineStr">
        <is>
          <t>COBRANZA EFECTIVA</t>
        </is>
      </c>
      <c r="B10" s="208" t="inlineStr">
        <is>
          <t>$1,228,968</t>
        </is>
      </c>
      <c r="C10" s="209" t="inlineStr">
        <is>
          <t>Es el monto cobrado durante el mes que corresponde a ventas del MISMO periodo de facturación (no incluye cartera vencida).</t>
        </is>
      </c>
      <c r="D10" s="209" t="inlineStr">
        <is>
          <t>Es el indicador principal de eficiencia de cobranza. Compara cuánto se cobró vs cuánto se emitió. Meta: &gt;75%.</t>
        </is>
      </c>
      <c r="E10" s="210">
        <f> Suma de MONTO (columna AK) en apartado EFECTIVA, sin filtro STATUS. Top 5 agrupa por COBRADO (columna AP).</f>
        <v/>
      </c>
    </row>
    <row r="11" ht="50" customHeight="1">
      <c r="A11" s="211" t="inlineStr">
        <is>
          <t>CANCELACIONES</t>
        </is>
      </c>
      <c r="B11" s="212" t="inlineStr">
        <is>
          <t>$127,110</t>
        </is>
      </c>
      <c r="C11" s="213" t="inlineStr">
        <is>
          <t>Son las pólizas que fueron canceladas durante el mes, ya sea por falta de pago o por decisión del cliente.</t>
        </is>
      </c>
      <c r="D11" s="213" t="inlineStr">
        <is>
          <t>Un valor alto puede indicar problemas en la calidad de la venta o en la gestión de cobranza preventiva. Revisar causa raíz.</t>
        </is>
      </c>
      <c r="E11" s="214">
        <f> Suma de MONTO en apartado CANCELACIONES, sin filtro STATUS. Top 5 agrupa por VENDEDOR (columna U/V).</f>
        <v/>
      </c>
    </row>
    <row r="12" ht="50" customHeight="1">
      <c r="A12" s="207" t="inlineStr">
        <is>
          <t>COBRANZA VENCIDA</t>
        </is>
      </c>
      <c r="B12" s="208" t="inlineStr">
        <is>
          <t>$166,220</t>
        </is>
      </c>
      <c r="C12" s="209" t="inlineStr">
        <is>
          <t>Son las cuentas que tenían atraso y NO se recuperaron en el mes. Representa la cartera vencida pendiente de cobro.</t>
        </is>
      </c>
      <c r="D12" s="209" t="inlineStr">
        <is>
          <t>Un valor bajo es bueno (significa que se está recuperando la cartera vencida). Un valor alto requiere acción inmediata.</t>
        </is>
      </c>
      <c r="E12" s="210">
        <f> Suma de MONTO en apartado VENCIDA/ATRASADA, sin filtro STATUS. Top 5 agrupa por UBICACIÓN_T (columna V).</f>
        <v/>
      </c>
    </row>
    <row r="13" ht="50" customHeight="1">
      <c r="A13" s="211" t="inlineStr">
        <is>
          <t>COBRANZA CORRIENTE</t>
        </is>
      </c>
      <c r="B13" s="212" t="inlineStr">
        <is>
          <t>$1,608,391</t>
        </is>
      </c>
      <c r="C13" s="213" t="inlineStr">
        <is>
          <t>Es el monto total de la cartera ACTUAL (vence en el mes actual). Es la base de la operación normal de cobranza.</t>
        </is>
      </c>
      <c r="D13" s="213" t="inlineStr">
        <is>
          <t>Es la referencia principal para evaluar el desempeño del equipo. Representa la facturación reciente pendiente de cobro.</t>
        </is>
      </c>
      <c r="E13" s="214">
        <f> Suma de MONTO (columna Z) en apartado CORRIENTE, sin filtro STATUS. Top 5 agrupa por VENDEDOR (columna U).</f>
        <v/>
      </c>
    </row>
    <row r="14" ht="50" customHeight="1">
      <c r="A14" s="207" t="inlineStr">
        <is>
          <t>COBRANZA ANTICIPADA</t>
        </is>
      </c>
      <c r="B14" s="208" t="inlineStr">
        <is>
          <t>$80,464</t>
        </is>
      </c>
      <c r="C14" s="209" t="inlineStr">
        <is>
          <t>Son pagos que el cliente realizó ANTES de la fecha de vencimiento. Indica buen comportamiento de pago.</t>
        </is>
      </c>
      <c r="D14" s="209" t="inlineStr">
        <is>
          <t>Un valor positivo es favorable: significa que hay clientes que pagan antes de tiempo, lo cual mejora el flujo de caja.</t>
        </is>
      </c>
      <c r="E14" s="210">
        <f> Suma de MONTO (columna BG) en apartado ADELANTADA FUTURA, sin filtro STATUS. Top 5 agrupa por COBRADO (columna BL).</f>
        <v/>
      </c>
    </row>
    <row r="15" ht="50" customHeight="1">
      <c r="A15" s="211" t="inlineStr">
        <is>
          <t>PROYECCIÓN (SIG. MES)</t>
        </is>
      </c>
      <c r="B15" s="212" t="inlineStr">
        <is>
          <t>$1,158,184</t>
        </is>
      </c>
      <c r="C15" s="213" t="inlineStr">
        <is>
          <t>Es la estimación de cuánto se cobrará en el MES SIGUIENTE basándose en la tendencia actual de cobranza efectiva.</t>
        </is>
      </c>
      <c r="D15" s="213" t="inlineStr">
        <is>
          <t>Se usa para planeación financiera y de operación. No es un compromiso de cobro, sino una referencia proyectada.</t>
        </is>
      </c>
      <c r="E15" s="214">
        <f> Calculado por el sistema con base en el promedio de cobranza efectiva de los últimos 3 meses.</f>
        <v/>
      </c>
    </row>
    <row r="17" ht="8" customHeight="1">
      <c r="A17" s="89" t="n"/>
      <c r="B17" s="89" t="n"/>
      <c r="C17" s="89" t="n"/>
      <c r="D17" s="89" t="n"/>
      <c r="E17" s="89" t="n"/>
    </row>
    <row r="18" ht="30" customHeight="1">
      <c r="A18" s="215" t="inlineStr">
        <is>
          <t>📌 Nota: Los valores en la columna 'TOTAL ($) — ENE 2026' son ejemplos del mes de referencia (Enero 2026). Al cargar datos de otros meses, los totales se actualizan automáticamente en la Plantilla Principal.</t>
        </is>
      </c>
    </row>
    <row r="20" ht="16" customHeight="1">
      <c r="A20" s="216" t="inlineStr">
        <is>
          <t>PROTEG-RT MUTUALIDAD  |  Gerencia de Cobranza  |  Guía de KPIs — Luna Dashboard</t>
        </is>
      </c>
    </row>
  </sheetData>
  <mergeCells count="6">
    <mergeCell ref="A20:E20"/>
    <mergeCell ref="A2:E2"/>
    <mergeCell ref="A5:E5"/>
    <mergeCell ref="A1:E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914"/>
  <sheetViews>
    <sheetView workbookViewId="0">
      <pane ySplit="4" topLeftCell="A5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3" customWidth="1" min="14" max="14"/>
  </cols>
  <sheetData>
    <row r="1">
      <c r="A1" s="1" t="inlineStr">
        <is>
          <t>PROTEG-RT MUTUALIDAD</t>
        </is>
      </c>
    </row>
    <row r="2">
      <c r="A2" s="2" t="inlineStr">
        <is>
          <t>REPORTE DE COBRANZA — JUNTA MENSUAL</t>
        </is>
      </c>
    </row>
    <row r="3">
      <c r="A3" s="3" t="inlineStr">
        <is>
          <t>AÑO 2026</t>
        </is>
      </c>
    </row>
    <row r="4" ht="8" customHeight="1"/>
    <row r="5" ht="22" customHeight="1">
      <c r="A5" s="4" t="inlineStr">
        <is>
          <t>ENERO 2026</t>
        </is>
      </c>
    </row>
    <row r="6" ht="28" customHeight="1">
      <c r="A6" s="34" t="inlineStr">
        <is>
          <t>CONCEPTO</t>
        </is>
      </c>
      <c r="B6" s="34" t="inlineStr">
        <is>
          <t>TOTAL ($)</t>
        </is>
      </c>
      <c r="C6" s="34" t="inlineStr">
        <is>
          <t>VENDEDOR / COBRADOR</t>
        </is>
      </c>
      <c r="D6" s="34" t="inlineStr">
        <is>
          <t>MONTO</t>
        </is>
      </c>
      <c r="E6" s="34" t="inlineStr">
        <is>
          <t>VENDEDOR / COBRADOR</t>
        </is>
      </c>
      <c r="F6" s="34" t="inlineStr">
        <is>
          <t>MONTO</t>
        </is>
      </c>
      <c r="G6" s="34" t="inlineStr">
        <is>
          <t>VENDEDOR / COBRADOR</t>
        </is>
      </c>
      <c r="H6" s="34" t="inlineStr">
        <is>
          <t>MONTO</t>
        </is>
      </c>
      <c r="I6" s="34" t="inlineStr">
        <is>
          <t>VENDEDOR / COBRADOR</t>
        </is>
      </c>
      <c r="J6" s="34" t="inlineStr">
        <is>
          <t>MONTO</t>
        </is>
      </c>
      <c r="K6" s="34" t="inlineStr">
        <is>
          <t>VENDEDOR / COBRADOR</t>
        </is>
      </c>
      <c r="L6" s="34" t="inlineStr">
        <is>
          <t>MONTO</t>
        </is>
      </c>
      <c r="M6" s="34" t="inlineStr">
        <is>
          <t>% ACUM.</t>
        </is>
      </c>
      <c r="N6" s="34" t="inlineStr">
        <is>
          <t>% ACUM. MENSUAL</t>
        </is>
      </c>
    </row>
    <row r="7">
      <c r="A7" s="35" t="inlineStr">
        <is>
          <t>DATOS GENERALES</t>
        </is>
      </c>
    </row>
    <row r="8">
      <c r="A8" s="8" t="inlineStr">
        <is>
          <t>Mes</t>
        </is>
      </c>
      <c r="B8" s="9" t="inlineStr">
        <is>
          <t>ENERO</t>
        </is>
      </c>
      <c r="E8" s="8" t="inlineStr">
        <is>
          <t>Año</t>
        </is>
      </c>
      <c r="F8" s="9" t="n">
        <v>2026</v>
      </c>
    </row>
    <row r="9">
      <c r="A9" s="8" t="inlineStr">
        <is>
          <t>Fecha de corte</t>
        </is>
      </c>
      <c r="B9" s="10" t="n"/>
      <c r="E9" s="8" t="inlineStr">
        <is>
          <t>Elaboró</t>
        </is>
      </c>
      <c r="F9" s="10" t="n"/>
    </row>
    <row r="10">
      <c r="A10" s="36" t="inlineStr">
        <is>
          <t>COBRANZA CORRIENTE</t>
        </is>
      </c>
      <c r="B10" s="37" t="n"/>
      <c r="C10" s="38" t="n"/>
      <c r="D10" s="38" t="n"/>
      <c r="E10" s="39" t="n"/>
      <c r="F10" s="37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6" customHeight="1">
      <c r="A11" s="40" t="inlineStr">
        <is>
          <t>Total</t>
        </is>
      </c>
      <c r="B11" s="260" t="n">
        <v>1608391</v>
      </c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</row>
    <row r="12">
      <c r="A12" s="42" t="n"/>
      <c r="B12" s="43" t="inlineStr">
        <is>
          <t>Top 5</t>
        </is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</row>
    <row r="13" ht="20" customHeight="1">
      <c r="A13" s="240" t="n"/>
      <c r="B13" s="45" t="n"/>
      <c r="C13" s="45" t="n"/>
      <c r="D13" s="45" t="n"/>
      <c r="E13" s="45" t="n"/>
      <c r="F13" s="45" t="n"/>
      <c r="G13" s="45" t="n"/>
      <c r="H13" s="46" t="n"/>
      <c r="I13" s="83" t="n"/>
      <c r="J13" s="83" t="n"/>
      <c r="K13" s="83" t="n"/>
      <c r="L13" s="83" t="n"/>
      <c r="M13" s="83" t="n"/>
      <c r="N13" s="83" t="n"/>
      <c r="O13" s="70" t="n"/>
      <c r="P13" s="70" t="n"/>
    </row>
    <row r="14" ht="18" customHeight="1">
      <c r="A14" s="241" t="n"/>
      <c r="B14" s="241" t="n"/>
      <c r="C14" s="242" t="n"/>
      <c r="D14" s="241" t="n"/>
      <c r="E14" s="242" t="n"/>
      <c r="F14" s="241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70" t="n"/>
      <c r="P14" s="70" t="n"/>
    </row>
    <row r="15" ht="18" customHeight="1">
      <c r="A15" s="124" t="n"/>
      <c r="B15" s="125" t="n"/>
      <c r="C15" s="242" t="n"/>
      <c r="D15" s="243" t="n"/>
      <c r="E15" s="242" t="n"/>
      <c r="F15" s="244" t="n"/>
      <c r="G15" s="242" t="n"/>
      <c r="H15" s="242" t="n"/>
      <c r="I15" s="242" t="n"/>
      <c r="J15" s="242" t="n"/>
      <c r="K15" s="242" t="n"/>
      <c r="L15" s="242" t="n"/>
      <c r="M15" s="245" t="n"/>
      <c r="N15" s="245" t="n"/>
      <c r="O15" s="70" t="n"/>
      <c r="P15" s="70" t="n"/>
    </row>
    <row r="16" ht="18" customHeight="1">
      <c r="A16" s="124" t="n"/>
      <c r="B16" s="125" t="n"/>
      <c r="C16" s="242" t="n"/>
      <c r="D16" s="246" t="n"/>
      <c r="E16" s="242" t="n"/>
      <c r="F16" s="247" t="n"/>
      <c r="G16" s="242" t="n"/>
      <c r="H16" s="242" t="n"/>
      <c r="I16" s="242" t="n"/>
      <c r="J16" s="242" t="n"/>
      <c r="K16" s="242" t="n"/>
      <c r="L16" s="242" t="n"/>
      <c r="M16" s="245" t="n"/>
      <c r="N16" s="245" t="n"/>
      <c r="O16" s="70" t="n"/>
      <c r="P16" s="70" t="n"/>
    </row>
    <row r="17" ht="18" customHeight="1">
      <c r="A17" s="124" t="n"/>
      <c r="B17" s="125" t="n"/>
      <c r="C17" s="242" t="n"/>
      <c r="D17" s="248" t="n"/>
      <c r="E17" s="242" t="n"/>
      <c r="F17" s="249" t="n"/>
      <c r="G17" s="242" t="n"/>
      <c r="H17" s="250" t="n"/>
      <c r="I17" s="242" t="n"/>
      <c r="J17" s="242" t="n"/>
      <c r="K17" s="242" t="n"/>
      <c r="L17" s="242" t="n"/>
      <c r="M17" s="245" t="n"/>
      <c r="N17" s="245" t="n"/>
      <c r="O17" s="70" t="n"/>
      <c r="P17" s="70" t="n"/>
    </row>
    <row r="18" ht="18" customHeight="1">
      <c r="A18" s="124" t="n"/>
      <c r="B18" s="125" t="n"/>
      <c r="C18" s="242" t="n"/>
      <c r="D18" s="251" t="n"/>
      <c r="E18" s="242" t="n"/>
      <c r="F18" s="252" t="n"/>
      <c r="G18" s="242" t="n"/>
      <c r="H18" s="242" t="n"/>
      <c r="I18" s="242" t="n"/>
      <c r="J18" s="250" t="n"/>
      <c r="K18" s="242" t="n"/>
      <c r="L18" s="242" t="n"/>
      <c r="M18" s="245" t="n"/>
      <c r="N18" s="245" t="n"/>
      <c r="O18" s="70" t="n"/>
      <c r="P18" s="70" t="n"/>
    </row>
    <row r="19" ht="18" customHeight="1">
      <c r="A19" s="124" t="n"/>
      <c r="B19" s="125" t="n"/>
      <c r="C19" s="242" t="n"/>
      <c r="D19" s="253" t="n"/>
      <c r="E19" s="242" t="n"/>
      <c r="F19" s="254" t="n"/>
      <c r="G19" s="45" t="n"/>
      <c r="H19" s="46" t="n"/>
      <c r="I19" s="242" t="n"/>
      <c r="J19" s="242" t="n"/>
      <c r="K19" s="242" t="n"/>
      <c r="L19" s="250" t="n"/>
      <c r="M19" s="245" t="n"/>
      <c r="N19" s="245" t="n"/>
      <c r="O19" s="70" t="n"/>
      <c r="P19" s="70" t="n"/>
    </row>
    <row r="20" ht="20" customHeight="1">
      <c r="A20" s="255" t="n"/>
      <c r="B20" s="256" t="n"/>
      <c r="C20" s="257" t="n"/>
      <c r="D20" s="258" t="n"/>
      <c r="E20" s="257" t="n"/>
      <c r="F20" s="259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70" t="n"/>
      <c r="P20" s="70" t="n"/>
    </row>
    <row r="21">
      <c r="A21" s="84" t="inlineStr">
        <is>
          <t>Top 5</t>
        </is>
      </c>
      <c r="B21" s="160" t="n"/>
      <c r="C21" s="160" t="n"/>
      <c r="D21" s="160" t="n"/>
      <c r="E21" s="160" t="n"/>
      <c r="F21" s="160" t="n"/>
      <c r="G21" s="160" t="n"/>
      <c r="H21" s="160" t="n"/>
      <c r="I21" s="160" t="n"/>
      <c r="J21" s="160" t="n"/>
      <c r="K21" s="160" t="n"/>
      <c r="L21" s="160" t="n"/>
      <c r="M21" s="160" t="n"/>
      <c r="N21" s="161" t="n"/>
    </row>
    <row r="22" ht="18" customHeight="1">
      <c r="A22" s="72" t="inlineStr">
        <is>
          <t>1er lugar</t>
        </is>
      </c>
      <c r="B22" s="73" t="n"/>
      <c r="C22" s="74" t="inlineStr">
        <is>
          <t>V6</t>
        </is>
      </c>
      <c r="D22" s="75" t="n">
        <v>356324</v>
      </c>
      <c r="E22" s="38" t="n"/>
      <c r="F22" s="38" t="n"/>
      <c r="G22" s="38" t="n"/>
      <c r="H22" s="38" t="n"/>
      <c r="I22" s="38" t="n"/>
      <c r="J22" s="38" t="n"/>
      <c r="K22" s="38" t="n"/>
      <c r="L22" s="38" t="n"/>
      <c r="M22" s="76" t="n">
        <v>0.2215</v>
      </c>
      <c r="N22" s="77" t="n">
        <v>0.2215</v>
      </c>
    </row>
    <row r="23" ht="18" customHeight="1">
      <c r="A23" s="40" t="inlineStr">
        <is>
          <t>2o lugar</t>
        </is>
      </c>
      <c r="B23" s="46" t="n"/>
      <c r="C23" s="48" t="n"/>
      <c r="D23" s="48" t="n"/>
      <c r="E23" s="78" t="inlineStr">
        <is>
          <t>V1</t>
        </is>
      </c>
      <c r="F23" s="79" t="n">
        <v>297307</v>
      </c>
      <c r="G23" s="48" t="n"/>
      <c r="H23" s="48" t="n"/>
      <c r="I23" s="48" t="n"/>
      <c r="J23" s="48" t="n"/>
      <c r="K23" s="48" t="n"/>
      <c r="L23" s="48" t="n"/>
      <c r="M23" s="80" t="n">
        <v>0.1848</v>
      </c>
      <c r="N23" s="81" t="n">
        <v>0.4064</v>
      </c>
    </row>
    <row r="24" ht="18" customHeight="1">
      <c r="A24" s="72" t="inlineStr">
        <is>
          <t>3er lugar</t>
        </is>
      </c>
      <c r="B24" s="48" t="n"/>
      <c r="C24" s="48" t="n"/>
      <c r="D24" s="62" t="n"/>
      <c r="E24" s="48" t="n"/>
      <c r="F24" s="48" t="n"/>
      <c r="G24" s="74" t="inlineStr">
        <is>
          <t>V38</t>
        </is>
      </c>
      <c r="H24" s="75" t="n">
        <v>241116</v>
      </c>
      <c r="I24" s="48" t="n"/>
      <c r="J24" s="48" t="n"/>
      <c r="K24" s="48" t="n"/>
      <c r="L24" s="48" t="n"/>
      <c r="M24" s="76" t="n">
        <v>0.1499</v>
      </c>
      <c r="N24" s="77" t="n">
        <v>0.5563</v>
      </c>
    </row>
    <row r="25" ht="18" customHeight="1">
      <c r="A25" s="40" t="inlineStr">
        <is>
          <t>4o lugar</t>
        </is>
      </c>
      <c r="B25" s="48" t="n"/>
      <c r="C25" s="48" t="n"/>
      <c r="D25" s="48" t="n"/>
      <c r="E25" s="48" t="n"/>
      <c r="F25" s="62" t="n"/>
      <c r="G25" s="48" t="n"/>
      <c r="H25" s="48" t="n"/>
      <c r="I25" s="78" t="inlineStr">
        <is>
          <t>V39</t>
        </is>
      </c>
      <c r="J25" s="79" t="n">
        <v>176093</v>
      </c>
      <c r="K25" s="48" t="n"/>
      <c r="L25" s="48" t="n"/>
      <c r="M25" s="80" t="n">
        <v>0.1095</v>
      </c>
      <c r="N25" s="81" t="n">
        <v>0.6657999999999999</v>
      </c>
    </row>
    <row r="26" ht="18" customHeight="1">
      <c r="A26" s="72" t="inlineStr">
        <is>
          <t>5o lugar</t>
        </is>
      </c>
      <c r="B26" s="48" t="n"/>
      <c r="C26" s="48" t="n"/>
      <c r="D26" s="48" t="n"/>
      <c r="E26" s="48" t="n"/>
      <c r="F26" s="48" t="n"/>
      <c r="G26" s="48" t="n"/>
      <c r="H26" s="62" t="n"/>
      <c r="I26" s="48" t="n"/>
      <c r="J26" s="48" t="n"/>
      <c r="K26" s="74" t="inlineStr">
        <is>
          <t>V56</t>
        </is>
      </c>
      <c r="L26" s="75" t="n">
        <v>130775</v>
      </c>
      <c r="M26" s="76" t="n">
        <v>0.0813</v>
      </c>
      <c r="N26" s="77" t="n">
        <v>0.7471</v>
      </c>
    </row>
    <row r="27" ht="18" customHeight="1">
      <c r="A27" s="85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62" t="n"/>
      <c r="K27" s="48" t="n"/>
      <c r="L27" s="48" t="n"/>
      <c r="M27" s="53" t="n"/>
      <c r="N27" s="53" t="n"/>
    </row>
    <row r="28" ht="18" customHeight="1">
      <c r="A28" s="85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62" t="n"/>
      <c r="M28" s="53" t="n"/>
      <c r="N28" s="53" t="n"/>
    </row>
    <row r="29" ht="6" customHeight="1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</row>
    <row r="30">
      <c r="A30" s="42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6" t="n"/>
    </row>
    <row r="31" ht="20" customHeight="1">
      <c r="A31" s="8" t="inlineStr">
        <is>
          <t>Total</t>
        </is>
      </c>
      <c r="B31" s="261" t="n">
        <v>166220</v>
      </c>
    </row>
    <row r="32" ht="18" customHeight="1">
      <c r="A32" s="12" t="inlineStr">
        <is>
          <t>Top 5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18" customHeight="1">
      <c r="A33" s="14" t="inlineStr">
        <is>
          <t>1er lugar</t>
        </is>
      </c>
      <c r="B33" s="15" t="n"/>
      <c r="C33" s="15" t="inlineStr">
        <is>
          <t>V39</t>
        </is>
      </c>
      <c r="D33" s="30" t="n">
        <v>32232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31" t="n">
        <v>0.1939116833112742</v>
      </c>
      <c r="N33" s="31" t="n">
        <v>0.1939116833112742</v>
      </c>
    </row>
    <row r="34" ht="18" customHeight="1">
      <c r="A34" s="14" t="inlineStr">
        <is>
          <t>2o lugar</t>
        </is>
      </c>
      <c r="B34" s="15" t="n"/>
      <c r="C34" s="15" t="n"/>
      <c r="D34" s="15" t="n"/>
      <c r="E34" s="15" t="inlineStr">
        <is>
          <t>FRANCISCO</t>
        </is>
      </c>
      <c r="F34" s="30" t="n">
        <v>24988</v>
      </c>
      <c r="G34" s="15" t="n"/>
      <c r="H34" s="15" t="n"/>
      <c r="I34" s="15" t="n"/>
      <c r="J34" s="15" t="n"/>
      <c r="K34" s="15" t="n"/>
      <c r="L34" s="15" t="n"/>
      <c r="M34" s="31" t="n">
        <v>0.1503308867765612</v>
      </c>
      <c r="N34" s="31" t="n">
        <v>0.3442425700878354</v>
      </c>
    </row>
    <row r="35" ht="18" customHeight="1">
      <c r="A35" s="14" t="inlineStr">
        <is>
          <t>3er lugar</t>
        </is>
      </c>
      <c r="B35" s="15" t="n"/>
      <c r="C35" s="15" t="n"/>
      <c r="D35" s="15" t="n"/>
      <c r="E35" s="15" t="n"/>
      <c r="F35" s="15" t="n"/>
      <c r="G35" s="15" t="inlineStr">
        <is>
          <t>JORGE</t>
        </is>
      </c>
      <c r="H35" s="30" t="n">
        <v>23648</v>
      </c>
      <c r="I35" s="15" t="n"/>
      <c r="J35" s="15" t="n"/>
      <c r="K35" s="15" t="n"/>
      <c r="L35" s="15" t="n"/>
      <c r="M35" s="31" t="n">
        <v>0.1422692816748887</v>
      </c>
      <c r="N35" s="31" t="n">
        <v>0.4865118517627241</v>
      </c>
    </row>
    <row r="36" ht="18" customHeight="1">
      <c r="A36" s="14" t="inlineStr">
        <is>
          <t>4o lugar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inlineStr">
        <is>
          <t>DEPOSITO</t>
        </is>
      </c>
      <c r="J36" s="30" t="n">
        <v>19599</v>
      </c>
      <c r="K36" s="15" t="n"/>
      <c r="L36" s="15" t="n"/>
      <c r="M36" s="31" t="n">
        <v>0.1179099987967754</v>
      </c>
      <c r="N36" s="31" t="n">
        <v>0.6044218505594995</v>
      </c>
    </row>
    <row r="37" ht="18" customHeight="1">
      <c r="A37" s="14" t="inlineStr">
        <is>
          <t>5o lugar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inlineStr">
        <is>
          <t>EDGAR</t>
        </is>
      </c>
      <c r="L37" s="30" t="n">
        <v>16160</v>
      </c>
      <c r="M37" s="31" t="n">
        <v>0.09722055107688606</v>
      </c>
      <c r="N37" s="31" t="n">
        <v>0.7016424016363855</v>
      </c>
    </row>
    <row r="38" ht="6" customHeight="1"/>
    <row r="39">
      <c r="A39" s="35" t="inlineStr">
        <is>
          <t>COBRANZA EFECTIVA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</row>
    <row r="40" ht="20" customHeight="1">
      <c r="A40" s="16" t="inlineStr">
        <is>
          <t>Total</t>
        </is>
      </c>
      <c r="B40" s="262" t="n">
        <v>1228968</v>
      </c>
    </row>
    <row r="41" ht="18" customHeight="1">
      <c r="A41" s="12" t="inlineStr">
        <is>
          <t>Top 5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 ht="18" customHeight="1">
      <c r="A42" s="14" t="inlineStr">
        <is>
          <t>1er lugar</t>
        </is>
      </c>
      <c r="B42" s="15" t="n"/>
      <c r="C42" s="15" t="inlineStr">
        <is>
          <t>EDGAR</t>
        </is>
      </c>
      <c r="D42" s="30" t="n">
        <v>212099</v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31" t="n">
        <v>0.1725830127391437</v>
      </c>
      <c r="N42" s="31" t="n">
        <v>0.1725830127391437</v>
      </c>
    </row>
    <row r="43" ht="18" customHeight="1">
      <c r="A43" s="14" t="inlineStr">
        <is>
          <t>2o lugar</t>
        </is>
      </c>
      <c r="B43" s="15" t="n"/>
      <c r="C43" s="15" t="n"/>
      <c r="D43" s="15" t="n"/>
      <c r="E43" s="15" t="inlineStr">
        <is>
          <t>V6</t>
        </is>
      </c>
      <c r="F43" s="30" t="n">
        <v>142162</v>
      </c>
      <c r="G43" s="15" t="n"/>
      <c r="H43" s="15" t="n"/>
      <c r="I43" s="15" t="n"/>
      <c r="J43" s="15" t="n"/>
      <c r="K43" s="15" t="n"/>
      <c r="L43" s="15" t="n"/>
      <c r="M43" s="31" t="n">
        <v>0.1156759167040965</v>
      </c>
      <c r="N43" s="31" t="n">
        <v>0.2882589294432402</v>
      </c>
    </row>
    <row r="44" ht="18" customHeight="1">
      <c r="A44" s="14" t="inlineStr">
        <is>
          <t>3er lugar</t>
        </is>
      </c>
      <c r="B44" s="15" t="n"/>
      <c r="C44" s="15" t="n"/>
      <c r="D44" s="15" t="n"/>
      <c r="E44" s="15" t="n"/>
      <c r="F44" s="15" t="n"/>
      <c r="G44" s="15" t="inlineStr">
        <is>
          <t>JORGE</t>
        </is>
      </c>
      <c r="H44" s="30" t="n">
        <v>138268</v>
      </c>
      <c r="I44" s="15" t="n"/>
      <c r="J44" s="15" t="n"/>
      <c r="K44" s="15" t="n"/>
      <c r="L44" s="15" t="n"/>
      <c r="M44" s="31" t="n">
        <v>0.1125074045866125</v>
      </c>
      <c r="N44" s="31" t="n">
        <v>0.4007663340298527</v>
      </c>
    </row>
    <row r="45" ht="18" customHeight="1">
      <c r="A45" s="14" t="inlineStr">
        <is>
          <t>4o lugar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inlineStr">
        <is>
          <t>DEPOSITO</t>
        </is>
      </c>
      <c r="J45" s="30" t="n">
        <v>122198</v>
      </c>
      <c r="K45" s="15" t="n"/>
      <c r="L45" s="15" t="n"/>
      <c r="M45" s="31" t="n">
        <v>0.09943139284342635</v>
      </c>
      <c r="N45" s="31" t="n">
        <v>0.500197726873279</v>
      </c>
    </row>
    <row r="46" ht="18" customHeight="1">
      <c r="A46" s="14" t="inlineStr">
        <is>
          <t>5o lugar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inlineStr">
        <is>
          <t>FRANCISCO</t>
        </is>
      </c>
      <c r="L46" s="30" t="n">
        <v>117694</v>
      </c>
      <c r="M46" s="31" t="n">
        <v>0.09576652931565346</v>
      </c>
      <c r="N46" s="31" t="n">
        <v>0.5959642561889325</v>
      </c>
    </row>
    <row r="47" ht="6" customHeight="1"/>
    <row r="48">
      <c r="A48" s="35" t="inlineStr">
        <is>
          <t>COBRANZA RECUPERADA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</row>
    <row r="49" ht="20" customHeight="1">
      <c r="A49" s="8" t="inlineStr">
        <is>
          <t>Total</t>
        </is>
      </c>
      <c r="B49" s="261" t="n">
        <v>115277</v>
      </c>
    </row>
    <row r="50" ht="18" customHeight="1">
      <c r="A50" s="12" t="inlineStr">
        <is>
          <t>Top 5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 ht="18" customHeight="1">
      <c r="A51" s="14" t="inlineStr">
        <is>
          <t>1er lugar</t>
        </is>
      </c>
      <c r="B51" s="15" t="n"/>
      <c r="C51" s="15" t="inlineStr">
        <is>
          <t>JORGE</t>
        </is>
      </c>
      <c r="D51" s="30" t="n">
        <v>28228</v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31" t="n">
        <v>0.2448710497323837</v>
      </c>
      <c r="N51" s="31" t="n">
        <v>0.2448710497323837</v>
      </c>
    </row>
    <row r="52" ht="18" customHeight="1">
      <c r="A52" s="14" t="inlineStr">
        <is>
          <t>2o lugar</t>
        </is>
      </c>
      <c r="B52" s="15" t="n"/>
      <c r="C52" s="15" t="n"/>
      <c r="D52" s="15" t="n"/>
      <c r="E52" s="15" t="inlineStr">
        <is>
          <t>V4</t>
        </is>
      </c>
      <c r="F52" s="30" t="n">
        <v>15999</v>
      </c>
      <c r="G52" s="15" t="n"/>
      <c r="H52" s="15" t="n"/>
      <c r="I52" s="15" t="n"/>
      <c r="J52" s="15" t="n"/>
      <c r="K52" s="15" t="n"/>
      <c r="L52" s="15" t="n"/>
      <c r="M52" s="31" t="n">
        <v>0.1387874424212983</v>
      </c>
      <c r="N52" s="31" t="n">
        <v>0.383658492153682</v>
      </c>
    </row>
    <row r="53" ht="18" customHeight="1">
      <c r="A53" s="14" t="inlineStr">
        <is>
          <t>3er lugar</t>
        </is>
      </c>
      <c r="B53" s="15" t="n"/>
      <c r="C53" s="15" t="n"/>
      <c r="D53" s="15" t="n"/>
      <c r="E53" s="15" t="n"/>
      <c r="F53" s="15" t="n"/>
      <c r="G53" s="15" t="inlineStr">
        <is>
          <t>FRANCISCO</t>
        </is>
      </c>
      <c r="H53" s="30" t="n">
        <v>14928</v>
      </c>
      <c r="I53" s="15" t="n"/>
      <c r="J53" s="15" t="n"/>
      <c r="K53" s="15" t="n"/>
      <c r="L53" s="15" t="n"/>
      <c r="M53" s="31" t="n">
        <v>0.1294967773276543</v>
      </c>
      <c r="N53" s="31" t="n">
        <v>0.5131552694813363</v>
      </c>
    </row>
    <row r="54" ht="18" customHeight="1">
      <c r="A54" s="14" t="inlineStr">
        <is>
          <t>4o lugar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inlineStr">
        <is>
          <t>V39</t>
        </is>
      </c>
      <c r="J54" s="30" t="n">
        <v>13452</v>
      </c>
      <c r="K54" s="15" t="n"/>
      <c r="L54" s="15" t="n"/>
      <c r="M54" s="31" t="n">
        <v>0.1166928355179264</v>
      </c>
      <c r="N54" s="31" t="n">
        <v>0.6298481049992627</v>
      </c>
    </row>
    <row r="55" ht="18" customHeight="1">
      <c r="A55" s="14" t="inlineStr">
        <is>
          <t>5o lugar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inlineStr">
        <is>
          <t>EDUARDO</t>
        </is>
      </c>
      <c r="L55" s="30" t="n">
        <v>11551</v>
      </c>
      <c r="M55" s="31" t="n">
        <v>0.1002021218456414</v>
      </c>
      <c r="N55" s="31" t="n">
        <v>0.7300502268449041</v>
      </c>
    </row>
    <row r="56" ht="6" customHeight="1"/>
    <row r="57">
      <c r="A57" s="35" t="inlineStr">
        <is>
          <t>COBRANZA TOTAL GENERAL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</row>
    <row r="58" ht="20" customHeight="1">
      <c r="A58" s="16" t="inlineStr">
        <is>
          <t>Total</t>
        </is>
      </c>
      <c r="B58" s="262" t="n">
        <v>1408644</v>
      </c>
    </row>
    <row r="59" ht="18" customHeight="1">
      <c r="A59" s="12" t="inlineStr">
        <is>
          <t>Top 5</t>
        </is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8" customHeight="1">
      <c r="A60" s="14" t="inlineStr">
        <is>
          <t>1er lugar</t>
        </is>
      </c>
      <c r="B60" s="15" t="n"/>
      <c r="C60" s="15" t="inlineStr">
        <is>
          <t>EDGAR</t>
        </is>
      </c>
      <c r="D60" s="30" t="n">
        <v>227673</v>
      </c>
      <c r="E60" s="15" t="n"/>
      <c r="F60" s="15" t="n"/>
      <c r="G60" s="15" t="n"/>
      <c r="H60" s="15" t="n"/>
      <c r="I60" s="15" t="n"/>
      <c r="J60" s="15" t="n"/>
      <c r="K60" s="15" t="n"/>
      <c r="L60" s="15" t="n"/>
      <c r="M60" s="31" t="n">
        <v>0.1616256484960004</v>
      </c>
      <c r="N60" s="31" t="n">
        <v>0.1616256484960004</v>
      </c>
    </row>
    <row r="61" ht="18" customHeight="1">
      <c r="A61" s="14" t="inlineStr">
        <is>
          <t>2o lugar</t>
        </is>
      </c>
      <c r="B61" s="15" t="n"/>
      <c r="C61" s="15" t="n"/>
      <c r="D61" s="15" t="n"/>
      <c r="E61" s="15" t="inlineStr">
        <is>
          <t>JORGE</t>
        </is>
      </c>
      <c r="F61" s="30" t="n">
        <v>170311</v>
      </c>
      <c r="G61" s="15" t="n"/>
      <c r="H61" s="15" t="n"/>
      <c r="I61" s="15" t="n"/>
      <c r="J61" s="15" t="n"/>
      <c r="K61" s="15" t="n"/>
      <c r="L61" s="15" t="n"/>
      <c r="M61" s="31" t="n">
        <v>0.1209042171052445</v>
      </c>
      <c r="N61" s="31" t="n">
        <v>0.2825298656012449</v>
      </c>
    </row>
    <row r="62" ht="18" customHeight="1">
      <c r="A62" s="14" t="inlineStr">
        <is>
          <t>3er lugar</t>
        </is>
      </c>
      <c r="B62" s="15" t="n"/>
      <c r="C62" s="15" t="n"/>
      <c r="D62" s="15" t="n"/>
      <c r="E62" s="15" t="n"/>
      <c r="F62" s="15" t="n"/>
      <c r="G62" s="15" t="inlineStr">
        <is>
          <t>V6</t>
        </is>
      </c>
      <c r="H62" s="30" t="n">
        <v>153967</v>
      </c>
      <c r="I62" s="15" t="n"/>
      <c r="J62" s="15" t="n"/>
      <c r="K62" s="15" t="n"/>
      <c r="L62" s="15" t="n"/>
      <c r="M62" s="31" t="n">
        <v>0.1093015694526083</v>
      </c>
      <c r="N62" s="31" t="n">
        <v>0.3918314350538532</v>
      </c>
    </row>
    <row r="63" ht="18" customHeight="1">
      <c r="A63" s="14" t="inlineStr">
        <is>
          <t>4o lugar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inlineStr">
        <is>
          <t>DEPOSITO</t>
        </is>
      </c>
      <c r="J63" s="30" t="n">
        <v>141219</v>
      </c>
      <c r="K63" s="15" t="n"/>
      <c r="L63" s="15" t="n"/>
      <c r="M63" s="31" t="n">
        <v>0.1002517314523755</v>
      </c>
      <c r="N63" s="31" t="n">
        <v>0.4920831665062287</v>
      </c>
    </row>
    <row r="64" ht="18" customHeight="1">
      <c r="A64" s="14" t="inlineStr">
        <is>
          <t>5o lugar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inlineStr">
        <is>
          <t>FRANCISCO</t>
        </is>
      </c>
      <c r="L64" s="30" t="n">
        <v>134949</v>
      </c>
      <c r="M64" s="31" t="n">
        <v>0.09580064231984803</v>
      </c>
      <c r="N64" s="31" t="n">
        <v>0.5878838088260767</v>
      </c>
    </row>
    <row r="65" ht="6" customHeight="1"/>
    <row r="66">
      <c r="A66" s="35" t="inlineStr">
        <is>
          <t>COBRANZA ADELANTADA F.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</row>
    <row r="67" ht="20" customHeight="1">
      <c r="A67" s="8" t="inlineStr">
        <is>
          <t>Total</t>
        </is>
      </c>
      <c r="B67" s="261" t="n">
        <v>8618</v>
      </c>
    </row>
    <row r="68" ht="18" customHeight="1">
      <c r="A68" s="12" t="inlineStr">
        <is>
          <t>Top 5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 ht="18" customHeight="1">
      <c r="A69" s="14" t="inlineStr">
        <is>
          <t>1er lugar</t>
        </is>
      </c>
      <c r="B69" s="15" t="n"/>
      <c r="C69" s="15" t="inlineStr">
        <is>
          <t>DEPOSITO</t>
        </is>
      </c>
      <c r="D69" s="30" t="n">
        <v>6604</v>
      </c>
      <c r="E69" s="15" t="n"/>
      <c r="F69" s="15" t="n"/>
      <c r="G69" s="15" t="n"/>
      <c r="H69" s="15" t="n"/>
      <c r="I69" s="15" t="n"/>
      <c r="J69" s="15" t="n"/>
      <c r="K69" s="15" t="n"/>
      <c r="L69" s="15" t="n"/>
      <c r="M69" s="31" t="n">
        <v>0.7663030865630076</v>
      </c>
      <c r="N69" s="31" t="n">
        <v>0.7663030865630076</v>
      </c>
    </row>
    <row r="70" ht="18" customHeight="1">
      <c r="A70" s="14" t="inlineStr">
        <is>
          <t>2o lugar</t>
        </is>
      </c>
      <c r="B70" s="15" t="n"/>
      <c r="C70" s="15" t="n"/>
      <c r="D70" s="15" t="n"/>
      <c r="E70" s="15" t="inlineStr">
        <is>
          <t>JORGE</t>
        </is>
      </c>
      <c r="F70" s="30" t="n">
        <v>784</v>
      </c>
      <c r="G70" s="15" t="n"/>
      <c r="H70" s="15" t="n"/>
      <c r="I70" s="15" t="n"/>
      <c r="J70" s="15" t="n"/>
      <c r="K70" s="15" t="n"/>
      <c r="L70" s="15" t="n"/>
      <c r="M70" s="31" t="n">
        <v>0.09097238338361568</v>
      </c>
      <c r="N70" s="31" t="n">
        <v>0.8572754699466233</v>
      </c>
    </row>
    <row r="71" ht="18" customHeight="1">
      <c r="A71" s="14" t="inlineStr">
        <is>
          <t>3er lugar</t>
        </is>
      </c>
      <c r="B71" s="15" t="n"/>
      <c r="C71" s="15" t="n"/>
      <c r="D71" s="15" t="n"/>
      <c r="E71" s="15" t="n"/>
      <c r="F71" s="15" t="n"/>
      <c r="G71" s="15" t="inlineStr">
        <is>
          <t>EDUARDO</t>
        </is>
      </c>
      <c r="H71" s="30" t="n">
        <v>645</v>
      </c>
      <c r="I71" s="15" t="n"/>
      <c r="J71" s="15" t="n"/>
      <c r="K71" s="15" t="n"/>
      <c r="L71" s="15" t="n"/>
      <c r="M71" s="31" t="n">
        <v>0.07484335112555117</v>
      </c>
      <c r="N71" s="31" t="n">
        <v>0.9321188210721745</v>
      </c>
    </row>
    <row r="72" ht="18" customHeight="1">
      <c r="A72" s="14" t="inlineStr">
        <is>
          <t>4o lugar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inlineStr">
        <is>
          <t>FRANCISCO</t>
        </is>
      </c>
      <c r="J72" s="30" t="n">
        <v>585</v>
      </c>
      <c r="K72" s="15" t="n"/>
      <c r="L72" s="15" t="n"/>
      <c r="M72" s="31" t="n">
        <v>0.06788117892782548</v>
      </c>
      <c r="N72" s="31" t="n">
        <v>1</v>
      </c>
    </row>
    <row r="73" ht="18" customHeight="1">
      <c r="A73" s="14" t="inlineStr">
        <is>
          <t>5o lugar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 ht="6" customHeight="1"/>
    <row r="75">
      <c r="A75" s="82" t="inlineStr">
        <is>
          <t>PROYECCION ENERO  FEBRERO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</row>
    <row r="76">
      <c r="A76" s="19" t="inlineStr">
        <is>
          <t>Proyeccion FEBRERO</t>
        </is>
      </c>
      <c r="B76" s="263" t="n">
        <v>1158184</v>
      </c>
    </row>
    <row r="78" ht="14" customHeight="1"/>
    <row r="79" ht="22" customHeight="1">
      <c r="A79" s="328" t="inlineStr">
        <is>
          <t>FEBRERO 2026</t>
        </is>
      </c>
      <c r="B79" s="329" t="n"/>
      <c r="C79" s="329" t="n"/>
      <c r="D79" s="329" t="n"/>
      <c r="E79" s="329" t="n"/>
      <c r="F79" s="329" t="n"/>
      <c r="G79" s="329" t="n"/>
      <c r="H79" s="329" t="n"/>
      <c r="I79" s="329" t="n"/>
      <c r="J79" s="329" t="n"/>
      <c r="K79" s="329" t="n"/>
      <c r="L79" s="329" t="n"/>
      <c r="M79" s="329" t="n"/>
    </row>
    <row r="80" ht="28" customHeight="1">
      <c r="A80" s="5" t="inlineStr">
        <is>
          <t>CONCEPTO</t>
        </is>
      </c>
      <c r="B80" s="5" t="inlineStr">
        <is>
          <t>TOTAL ($)</t>
        </is>
      </c>
      <c r="C80" s="5" t="inlineStr">
        <is>
          <t>TOP 1</t>
        </is>
      </c>
      <c r="D80" s="5" t="inlineStr">
        <is>
          <t>TOP 2</t>
        </is>
      </c>
      <c r="E80" s="5" t="inlineStr">
        <is>
          <t>TOP 3</t>
        </is>
      </c>
      <c r="F80" s="5" t="inlineStr">
        <is>
          <t>TOP 4</t>
        </is>
      </c>
      <c r="G80" s="5" t="inlineStr">
        <is>
          <t>TOP 5</t>
        </is>
      </c>
      <c r="H80" s="5" t="inlineStr">
        <is>
          <t>% TOP 1</t>
        </is>
      </c>
      <c r="I80" s="5" t="inlineStr">
        <is>
          <t>% TOP 2</t>
        </is>
      </c>
      <c r="J80" s="5" t="inlineStr">
        <is>
          <t>% TOP 3</t>
        </is>
      </c>
      <c r="K80" s="5" t="inlineStr">
        <is>
          <t>% TOP 4</t>
        </is>
      </c>
      <c r="L80" s="5" t="inlineStr">
        <is>
          <t>% TOP 5</t>
        </is>
      </c>
      <c r="M80" s="5" t="inlineStr">
        <is>
          <t>% ACUM.</t>
        </is>
      </c>
    </row>
    <row r="81">
      <c r="A81" s="35" t="inlineStr">
        <is>
          <t>DATOS GENERALES</t>
        </is>
      </c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</row>
    <row r="82">
      <c r="A82" s="8" t="inlineStr">
        <is>
          <t>Mes</t>
        </is>
      </c>
      <c r="B82" s="9" t="inlineStr">
        <is>
          <t>FEBRERO</t>
        </is>
      </c>
      <c r="E82" s="8" t="inlineStr">
        <is>
          <t>Año</t>
        </is>
      </c>
      <c r="F82" s="9" t="inlineStr">
        <is>
          <t>2026</t>
        </is>
      </c>
    </row>
    <row r="83">
      <c r="A83" s="8" t="inlineStr">
        <is>
          <t>Fecha de corte</t>
        </is>
      </c>
      <c r="B83" s="10" t="n"/>
      <c r="E83" s="8" t="inlineStr">
        <is>
          <t>Elaboró</t>
        </is>
      </c>
      <c r="F83" s="10" t="n"/>
    </row>
    <row r="84">
      <c r="A84" s="8" t="inlineStr">
        <is>
          <t>Reportado por</t>
        </is>
      </c>
      <c r="B84" s="10" t="n"/>
      <c r="E84" s="8" t="inlineStr">
        <is>
          <t>Cargo</t>
        </is>
      </c>
      <c r="F84" s="10" t="n"/>
    </row>
    <row r="85" ht="6" customHeight="1"/>
    <row r="86">
      <c r="A86" s="330" t="inlineStr">
        <is>
          <t>COBRANZA CORRIENTE</t>
        </is>
      </c>
      <c r="B86" s="331" t="n"/>
      <c r="C86" s="331" t="n"/>
      <c r="D86" s="331" t="n"/>
      <c r="E86" s="331" t="n"/>
      <c r="F86" s="331" t="n"/>
      <c r="G86" s="331" t="n"/>
      <c r="H86" s="331" t="n"/>
      <c r="I86" s="331" t="n"/>
      <c r="J86" s="331" t="n"/>
      <c r="K86" s="331" t="n"/>
      <c r="L86" s="331" t="n"/>
      <c r="M86" s="331" t="n"/>
      <c r="N86" s="28" t="n"/>
    </row>
    <row r="87" ht="20" customHeight="1">
      <c r="A87" s="332" t="inlineStr">
        <is>
          <t>Total</t>
        </is>
      </c>
      <c r="B87" s="333" t="n">
        <v>1524936</v>
      </c>
      <c r="C87" s="334" t="n"/>
      <c r="D87" s="334" t="n"/>
      <c r="E87" s="334" t="n"/>
      <c r="F87" s="334" t="n"/>
      <c r="G87" s="334" t="n"/>
      <c r="H87" s="334" t="n"/>
      <c r="I87" s="334" t="n"/>
      <c r="J87" s="334" t="n"/>
      <c r="K87" s="334" t="n"/>
      <c r="L87" s="334" t="n"/>
      <c r="M87" s="334" t="n"/>
    </row>
    <row r="88" ht="18" customHeight="1">
      <c r="A88" s="335" t="inlineStr">
        <is>
          <t>Top 5</t>
        </is>
      </c>
      <c r="C88" s="336" t="n"/>
      <c r="D88" s="336" t="n"/>
      <c r="E88" s="336" t="n"/>
      <c r="F88" s="336" t="n"/>
      <c r="G88" s="336" t="n"/>
      <c r="H88" s="336" t="n"/>
      <c r="I88" s="336" t="n"/>
      <c r="J88" s="336" t="n"/>
      <c r="K88" s="336" t="n"/>
      <c r="L88" s="336" t="n"/>
      <c r="M88" s="336" t="n"/>
      <c r="N88" s="13" t="n"/>
    </row>
    <row r="89" ht="18" customHeight="1">
      <c r="A89" s="337" t="inlineStr">
        <is>
          <t>1er</t>
        </is>
      </c>
      <c r="B89" s="338" t="n"/>
      <c r="C89" s="339" t="inlineStr">
        <is>
          <t>V6</t>
        </is>
      </c>
      <c r="D89" s="340" t="n">
        <v>356324</v>
      </c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15" t="n"/>
    </row>
    <row r="90" ht="18" customHeight="1">
      <c r="A90" s="341" t="inlineStr">
        <is>
          <t>2o</t>
        </is>
      </c>
      <c r="B90" s="342" t="n"/>
      <c r="C90" s="343" t="inlineStr">
        <is>
          <t>V1</t>
        </is>
      </c>
      <c r="D90" s="344" t="n">
        <v>297307</v>
      </c>
      <c r="E90" s="345" t="n"/>
      <c r="F90" s="345" t="n"/>
      <c r="G90" s="345" t="n"/>
      <c r="H90" s="345" t="n"/>
      <c r="I90" s="345" t="n"/>
      <c r="J90" s="345" t="n"/>
      <c r="K90" s="345" t="n"/>
      <c r="L90" s="345" t="n"/>
      <c r="M90" s="345" t="n"/>
      <c r="N90" s="15" t="n"/>
    </row>
    <row r="91" ht="18" customHeight="1">
      <c r="A91" s="337" t="inlineStr">
        <is>
          <t>3er</t>
        </is>
      </c>
      <c r="B91" s="338" t="n"/>
      <c r="C91" s="339" t="inlineStr">
        <is>
          <t>V38</t>
        </is>
      </c>
      <c r="D91" s="340" t="n">
        <v>241116</v>
      </c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15" t="n"/>
    </row>
    <row r="92" ht="18" customHeight="1">
      <c r="A92" s="341" t="inlineStr">
        <is>
          <t>4o</t>
        </is>
      </c>
      <c r="B92" s="342" t="n"/>
      <c r="C92" s="343" t="inlineStr">
        <is>
          <t>V39</t>
        </is>
      </c>
      <c r="D92" s="344" t="n">
        <v>176093</v>
      </c>
      <c r="E92" s="345" t="n"/>
      <c r="F92" s="345" t="n"/>
      <c r="G92" s="345" t="n"/>
      <c r="H92" s="345" t="n"/>
      <c r="I92" s="345" t="n"/>
      <c r="J92" s="345" t="n"/>
      <c r="K92" s="345" t="n"/>
      <c r="L92" s="345" t="n"/>
      <c r="M92" s="345" t="n"/>
      <c r="N92" s="15" t="n"/>
    </row>
    <row r="93" ht="18" customHeight="1">
      <c r="A93" s="337" t="inlineStr">
        <is>
          <t>5o</t>
        </is>
      </c>
      <c r="B93" s="338" t="n"/>
      <c r="C93" s="339" t="inlineStr">
        <is>
          <t>V56</t>
        </is>
      </c>
      <c r="D93" s="340" t="n">
        <v>130775</v>
      </c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15" t="n"/>
    </row>
    <row r="94" ht="6" customHeight="1"/>
    <row r="95">
      <c r="A95" s="346" t="inlineStr">
        <is>
          <t>CANCELACIONES</t>
        </is>
      </c>
      <c r="B95" s="347" t="n"/>
      <c r="C95" s="347" t="n"/>
      <c r="D95" s="347" t="n"/>
      <c r="E95" s="347" t="n"/>
      <c r="F95" s="347" t="n"/>
      <c r="G95" s="347" t="n"/>
      <c r="H95" s="347" t="n"/>
      <c r="I95" s="347" t="n"/>
      <c r="J95" s="347" t="n"/>
      <c r="K95" s="347" t="n"/>
      <c r="L95" s="347" t="n"/>
      <c r="M95" s="347" t="n"/>
      <c r="N95" s="28" t="n"/>
    </row>
    <row r="96" ht="20" customHeight="1">
      <c r="A96" s="348" t="inlineStr">
        <is>
          <t>Total</t>
        </is>
      </c>
      <c r="B96" s="349" t="n">
        <v>174435</v>
      </c>
      <c r="C96" s="350" t="n"/>
      <c r="D96" s="350" t="n"/>
      <c r="E96" s="350" t="n"/>
      <c r="F96" s="350" t="n"/>
      <c r="G96" s="350" t="n"/>
      <c r="H96" s="350" t="n"/>
      <c r="I96" s="350" t="n"/>
      <c r="J96" s="350" t="n"/>
      <c r="K96" s="350" t="n"/>
      <c r="L96" s="350" t="n"/>
      <c r="M96" s="350" t="n"/>
    </row>
    <row r="97" ht="18" customHeight="1">
      <c r="A97" s="335" t="inlineStr">
        <is>
          <t>Top 5</t>
        </is>
      </c>
      <c r="C97" s="336" t="n"/>
      <c r="D97" s="336" t="n"/>
      <c r="E97" s="336" t="n"/>
      <c r="F97" s="336" t="n"/>
      <c r="G97" s="336" t="n"/>
      <c r="H97" s="336" t="n"/>
      <c r="I97" s="336" t="n"/>
      <c r="J97" s="336" t="n"/>
      <c r="K97" s="336" t="n"/>
      <c r="L97" s="336" t="n"/>
      <c r="M97" s="336" t="n"/>
      <c r="N97" s="13" t="n"/>
    </row>
    <row r="98" ht="18" customHeight="1">
      <c r="A98" s="337" t="inlineStr">
        <is>
          <t>1er</t>
        </is>
      </c>
      <c r="B98" s="338" t="n"/>
      <c r="C98" s="351" t="inlineStr">
        <is>
          <t>V38</t>
        </is>
      </c>
      <c r="D98" s="340" t="n">
        <v>21035</v>
      </c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15" t="n"/>
    </row>
    <row r="99" ht="18" customHeight="1">
      <c r="A99" s="341" t="inlineStr">
        <is>
          <t>2o</t>
        </is>
      </c>
      <c r="B99" s="342" t="n"/>
      <c r="C99" s="352" t="inlineStr">
        <is>
          <t>V56</t>
        </is>
      </c>
      <c r="D99" s="344" t="n">
        <v>17664</v>
      </c>
      <c r="E99" s="345" t="n"/>
      <c r="F99" s="345" t="n"/>
      <c r="G99" s="345" t="n"/>
      <c r="H99" s="345" t="n"/>
      <c r="I99" s="345" t="n"/>
      <c r="J99" s="345" t="n"/>
      <c r="K99" s="345" t="n"/>
      <c r="L99" s="345" t="n"/>
      <c r="M99" s="345" t="n"/>
      <c r="N99" s="15" t="n"/>
    </row>
    <row r="100" ht="18" customHeight="1">
      <c r="A100" s="337" t="inlineStr">
        <is>
          <t>3er</t>
        </is>
      </c>
      <c r="B100" s="338" t="n"/>
      <c r="C100" s="351" t="inlineStr">
        <is>
          <t>V6</t>
        </is>
      </c>
      <c r="D100" s="340" t="n">
        <v>15924</v>
      </c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15" t="n"/>
    </row>
    <row r="101" ht="18" customHeight="1">
      <c r="A101" s="341" t="inlineStr">
        <is>
          <t>4o</t>
        </is>
      </c>
      <c r="B101" s="342" t="n"/>
      <c r="C101" s="352" t="inlineStr">
        <is>
          <t>V84</t>
        </is>
      </c>
      <c r="D101" s="344" t="n">
        <v>14374</v>
      </c>
      <c r="E101" s="345" t="n"/>
      <c r="F101" s="345" t="n"/>
      <c r="G101" s="345" t="n"/>
      <c r="H101" s="345" t="n"/>
      <c r="I101" s="345" t="n"/>
      <c r="J101" s="345" t="n"/>
      <c r="K101" s="345" t="n"/>
      <c r="L101" s="345" t="n"/>
      <c r="M101" s="345" t="n"/>
      <c r="N101" s="15" t="n"/>
    </row>
    <row r="102" ht="18" customHeight="1">
      <c r="A102" s="337" t="inlineStr">
        <is>
          <t>5o</t>
        </is>
      </c>
      <c r="B102" s="338" t="n"/>
      <c r="C102" s="351" t="inlineStr">
        <is>
          <t>V1</t>
        </is>
      </c>
      <c r="D102" s="340" t="n">
        <v>13188</v>
      </c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15" t="n"/>
    </row>
    <row r="103" ht="6" customHeight="1"/>
    <row r="104">
      <c r="A104" s="353" t="inlineStr">
        <is>
          <t>COBRANZA VENCIDA</t>
        </is>
      </c>
      <c r="B104" s="354" t="n"/>
      <c r="C104" s="354" t="n"/>
      <c r="D104" s="354" t="n"/>
      <c r="E104" s="354" t="n"/>
      <c r="F104" s="354" t="n"/>
      <c r="G104" s="354" t="n"/>
      <c r="H104" s="354" t="n"/>
      <c r="I104" s="354" t="n"/>
      <c r="J104" s="354" t="n"/>
      <c r="K104" s="354" t="n"/>
      <c r="L104" s="354" t="n"/>
      <c r="M104" s="354" t="n"/>
      <c r="N104" s="28" t="n"/>
    </row>
    <row r="105" ht="20" customHeight="1">
      <c r="A105" s="355" t="inlineStr">
        <is>
          <t>Total</t>
        </is>
      </c>
      <c r="B105" s="356" t="n">
        <v>251487.31</v>
      </c>
      <c r="C105" s="357" t="n"/>
      <c r="D105" s="357" t="n"/>
      <c r="E105" s="357" t="n"/>
      <c r="F105" s="357" t="n"/>
      <c r="G105" s="357" t="n"/>
      <c r="H105" s="357" t="n"/>
      <c r="I105" s="357" t="n"/>
      <c r="J105" s="357" t="n"/>
      <c r="K105" s="357" t="n"/>
      <c r="L105" s="357" t="n"/>
      <c r="M105" s="357" t="n"/>
    </row>
    <row r="106" ht="18" customHeight="1">
      <c r="A106" s="335" t="inlineStr">
        <is>
          <t>Top 5</t>
        </is>
      </c>
      <c r="C106" s="336" t="n"/>
      <c r="D106" s="336" t="n"/>
      <c r="E106" s="336" t="n"/>
      <c r="F106" s="336" t="n"/>
      <c r="G106" s="336" t="n"/>
      <c r="H106" s="336" t="n"/>
      <c r="I106" s="336" t="n"/>
      <c r="J106" s="336" t="n"/>
      <c r="K106" s="336" t="n"/>
      <c r="L106" s="336" t="n"/>
      <c r="M106" s="336" t="n"/>
      <c r="N106" s="13" t="n"/>
    </row>
    <row r="107" ht="18" customHeight="1">
      <c r="A107" s="337" t="inlineStr">
        <is>
          <t>1er</t>
        </is>
      </c>
      <c r="B107" s="338" t="n"/>
      <c r="C107" s="358" t="inlineStr">
        <is>
          <t>V39 JOSE</t>
        </is>
      </c>
      <c r="D107" s="340" t="n">
        <v>70796.5</v>
      </c>
      <c r="E107" s="26" t="inlineStr">
        <is>
          <t>JORGE</t>
        </is>
      </c>
      <c r="F107" s="26" t="n">
        <v>40169</v>
      </c>
      <c r="G107" s="26" t="inlineStr">
        <is>
          <t>EDGAR</t>
        </is>
      </c>
      <c r="H107" s="26" t="n">
        <v>35046</v>
      </c>
      <c r="I107" s="26" t="inlineStr">
        <is>
          <t>FRANCISCO</t>
        </is>
      </c>
      <c r="J107" s="26" t="n">
        <v>34647</v>
      </c>
      <c r="K107" s="26" t="inlineStr">
        <is>
          <t>DEPOSITO</t>
        </is>
      </c>
      <c r="L107" s="26" t="n">
        <v>24103.81</v>
      </c>
      <c r="M107" s="26" t="n">
        <v>0.2815</v>
      </c>
      <c r="N107" s="15" t="n">
        <v>0.2815</v>
      </c>
    </row>
    <row r="108" ht="18" customHeight="1">
      <c r="A108" s="341" t="inlineStr">
        <is>
          <t>2o</t>
        </is>
      </c>
      <c r="B108" s="342" t="n"/>
      <c r="C108" s="359" t="n"/>
      <c r="D108" s="344" t="n"/>
      <c r="E108" s="345" t="inlineStr">
        <is>
          <t>JORGE</t>
        </is>
      </c>
      <c r="F108" s="345" t="n">
        <v>40169</v>
      </c>
      <c r="G108" s="345" t="n"/>
      <c r="H108" s="345" t="n"/>
      <c r="I108" s="345" t="n"/>
      <c r="J108" s="345" t="n"/>
      <c r="K108" s="345" t="n"/>
      <c r="L108" s="345" t="n"/>
      <c r="M108" s="345" t="n"/>
      <c r="N108" s="15" t="n">
        <v>0.4412</v>
      </c>
    </row>
    <row r="109" ht="18" customHeight="1">
      <c r="A109" s="337" t="inlineStr">
        <is>
          <t>3er</t>
        </is>
      </c>
      <c r="B109" s="338" t="n"/>
      <c r="C109" s="358" t="n"/>
      <c r="D109" s="340" t="n"/>
      <c r="E109" s="26" t="n"/>
      <c r="F109" s="26" t="n"/>
      <c r="G109" s="26" t="inlineStr">
        <is>
          <t>EDGAR</t>
        </is>
      </c>
      <c r="H109" s="26" t="n">
        <v>35046</v>
      </c>
      <c r="I109" s="26" t="n"/>
      <c r="J109" s="26" t="n"/>
      <c r="K109" s="26" t="n"/>
      <c r="L109" s="26" t="n"/>
      <c r="M109" s="26" t="n"/>
      <c r="N109" s="15" t="n">
        <v>0.5806</v>
      </c>
    </row>
    <row r="110" ht="18" customHeight="1">
      <c r="A110" s="341" t="inlineStr">
        <is>
          <t>4o</t>
        </is>
      </c>
      <c r="B110" s="342" t="n"/>
      <c r="C110" s="359" t="n"/>
      <c r="D110" s="344" t="n"/>
      <c r="E110" s="345" t="n"/>
      <c r="F110" s="345" t="n"/>
      <c r="G110" s="345" t="n"/>
      <c r="H110" s="345" t="n"/>
      <c r="I110" s="345" t="inlineStr">
        <is>
          <t>FRANCISCO</t>
        </is>
      </c>
      <c r="J110" s="345" t="n">
        <v>34647</v>
      </c>
      <c r="K110" s="345" t="n"/>
      <c r="L110" s="345" t="n"/>
      <c r="M110" s="345" t="n"/>
      <c r="N110" s="15" t="n">
        <v>0.7184</v>
      </c>
    </row>
    <row r="111" ht="18" customHeight="1">
      <c r="A111" s="337" t="inlineStr">
        <is>
          <t>5o</t>
        </is>
      </c>
      <c r="B111" s="338" t="n"/>
      <c r="C111" s="358" t="n"/>
      <c r="D111" s="340" t="n"/>
      <c r="E111" s="26" t="n"/>
      <c r="F111" s="26" t="n"/>
      <c r="G111" s="26" t="n"/>
      <c r="H111" s="26" t="n"/>
      <c r="I111" s="26" t="n"/>
      <c r="J111" s="26" t="n"/>
      <c r="K111" s="26" t="inlineStr">
        <is>
          <t>DEPOSITO</t>
        </is>
      </c>
      <c r="L111" s="26" t="n">
        <v>24103.81</v>
      </c>
      <c r="M111" s="26" t="n"/>
      <c r="N111" s="15" t="n">
        <v>0.8142</v>
      </c>
    </row>
    <row r="112" ht="6" customHeight="1"/>
    <row r="113">
      <c r="A113" s="360" t="inlineStr">
        <is>
          <t>COBRANZA EFECTIVA</t>
        </is>
      </c>
      <c r="B113" s="361" t="n"/>
      <c r="C113" s="361" t="n"/>
      <c r="D113" s="361" t="n"/>
      <c r="E113" s="361" t="n"/>
      <c r="F113" s="361" t="n"/>
      <c r="G113" s="361" t="n"/>
      <c r="H113" s="361" t="n"/>
      <c r="I113" s="361" t="n"/>
      <c r="J113" s="361" t="n"/>
      <c r="K113" s="361" t="n"/>
      <c r="L113" s="361" t="n"/>
      <c r="M113" s="361" t="n"/>
      <c r="N113" s="28" t="n"/>
    </row>
    <row r="114" ht="20" customHeight="1">
      <c r="A114" s="362" t="inlineStr">
        <is>
          <t>Total</t>
        </is>
      </c>
      <c r="B114" s="363" t="n">
        <v>1110578</v>
      </c>
      <c r="C114" s="364" t="n"/>
      <c r="D114" s="364" t="n"/>
      <c r="E114" s="364" t="n"/>
      <c r="F114" s="364" t="n"/>
      <c r="G114" s="364" t="n"/>
      <c r="H114" s="364" t="n"/>
      <c r="I114" s="364" t="n"/>
      <c r="J114" s="364" t="n"/>
      <c r="K114" s="364" t="n"/>
      <c r="L114" s="364" t="n"/>
      <c r="M114" s="364" t="n"/>
    </row>
    <row r="115" ht="18" customHeight="1">
      <c r="A115" s="335" t="inlineStr">
        <is>
          <t>Top 5</t>
        </is>
      </c>
      <c r="C115" s="336" t="n"/>
      <c r="D115" s="336" t="n"/>
      <c r="E115" s="336" t="n"/>
      <c r="F115" s="336" t="n"/>
      <c r="G115" s="336" t="n"/>
      <c r="H115" s="336" t="n"/>
      <c r="I115" s="336" t="n"/>
      <c r="J115" s="336" t="n"/>
      <c r="K115" s="336" t="n"/>
      <c r="L115" s="336" t="n"/>
      <c r="M115" s="336" t="n"/>
      <c r="N115" s="13" t="n"/>
    </row>
    <row r="116" ht="18" customHeight="1">
      <c r="A116" s="337" t="inlineStr">
        <is>
          <t>1er</t>
        </is>
      </c>
      <c r="B116" s="338" t="n"/>
      <c r="C116" s="365" t="inlineStr">
        <is>
          <t>EDGAR</t>
        </is>
      </c>
      <c r="D116" s="340" t="n">
        <v>150839</v>
      </c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15" t="n"/>
    </row>
    <row r="117" ht="18" customHeight="1">
      <c r="A117" s="341" t="inlineStr">
        <is>
          <t>2o</t>
        </is>
      </c>
      <c r="B117" s="342" t="n"/>
      <c r="C117" s="366" t="inlineStr">
        <is>
          <t>FRANCISCO</t>
        </is>
      </c>
      <c r="D117" s="344" t="n">
        <v>140739</v>
      </c>
      <c r="E117" s="345" t="n"/>
      <c r="F117" s="345" t="n"/>
      <c r="G117" s="345" t="n"/>
      <c r="H117" s="345" t="n"/>
      <c r="I117" s="345" t="n"/>
      <c r="J117" s="345" t="n"/>
      <c r="K117" s="345" t="n"/>
      <c r="L117" s="345" t="n"/>
      <c r="M117" s="345" t="n"/>
      <c r="N117" s="15" t="n"/>
    </row>
    <row r="118" ht="18" customHeight="1">
      <c r="A118" s="337" t="inlineStr">
        <is>
          <t>3er</t>
        </is>
      </c>
      <c r="B118" s="338" t="n"/>
      <c r="C118" s="365" t="inlineStr">
        <is>
          <t>EDUARDO</t>
        </is>
      </c>
      <c r="D118" s="340" t="n">
        <v>91742</v>
      </c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15" t="n"/>
    </row>
    <row r="119" ht="18" customHeight="1">
      <c r="A119" s="341" t="inlineStr">
        <is>
          <t>4o</t>
        </is>
      </c>
      <c r="B119" s="342" t="n"/>
      <c r="C119" s="366" t="inlineStr">
        <is>
          <t>JORGE</t>
        </is>
      </c>
      <c r="D119" s="344" t="n">
        <v>88710</v>
      </c>
      <c r="E119" s="345" t="n"/>
      <c r="F119" s="345" t="n"/>
      <c r="G119" s="345" t="n"/>
      <c r="H119" s="345" t="n"/>
      <c r="I119" s="345" t="n"/>
      <c r="J119" s="345" t="n"/>
      <c r="K119" s="345" t="n"/>
      <c r="L119" s="345" t="n"/>
      <c r="M119" s="345" t="n"/>
      <c r="N119" s="15" t="n"/>
    </row>
    <row r="120" ht="18" customHeight="1">
      <c r="A120" s="337" t="inlineStr">
        <is>
          <t>5o</t>
        </is>
      </c>
      <c r="B120" s="338" t="n"/>
      <c r="C120" s="365" t="inlineStr">
        <is>
          <t>OFICINA</t>
        </is>
      </c>
      <c r="D120" s="340" t="n">
        <v>28000</v>
      </c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15" t="n"/>
    </row>
    <row r="121" ht="6" customHeight="1"/>
    <row r="122">
      <c r="A122" s="367" t="inlineStr">
        <is>
          <t>COBRANZA RECUPERADA</t>
        </is>
      </c>
      <c r="B122" s="368" t="n"/>
      <c r="C122" s="368" t="n"/>
      <c r="D122" s="368" t="n"/>
      <c r="E122" s="368" t="n"/>
      <c r="F122" s="368" t="n"/>
      <c r="G122" s="368" t="n"/>
      <c r="H122" s="368" t="n"/>
      <c r="I122" s="368" t="n"/>
      <c r="J122" s="368" t="n"/>
      <c r="K122" s="368" t="n"/>
      <c r="L122" s="368" t="n"/>
      <c r="M122" s="368" t="n"/>
      <c r="N122" s="28" t="n"/>
    </row>
    <row r="123" ht="20" customHeight="1">
      <c r="A123" s="332" t="inlineStr">
        <is>
          <t>Total</t>
        </is>
      </c>
      <c r="B123" s="369" t="n">
        <v>94027</v>
      </c>
      <c r="C123" s="334" t="n"/>
      <c r="D123" s="334" t="n"/>
      <c r="E123" s="334" t="n"/>
      <c r="F123" s="334" t="n"/>
      <c r="G123" s="334" t="n"/>
      <c r="H123" s="334" t="n"/>
      <c r="I123" s="334" t="n"/>
      <c r="J123" s="334" t="n"/>
      <c r="K123" s="334" t="n"/>
      <c r="L123" s="334" t="n"/>
      <c r="M123" s="334" t="n"/>
    </row>
    <row r="124" ht="18" customHeight="1">
      <c r="A124" s="335" t="inlineStr">
        <is>
          <t>Top 5</t>
        </is>
      </c>
      <c r="C124" s="336" t="n"/>
      <c r="D124" s="336" t="n"/>
      <c r="E124" s="336" t="n"/>
      <c r="F124" s="336" t="n"/>
      <c r="G124" s="336" t="n"/>
      <c r="H124" s="336" t="n"/>
      <c r="I124" s="336" t="n"/>
      <c r="J124" s="336" t="n"/>
      <c r="K124" s="336" t="n"/>
      <c r="L124" s="336" t="n"/>
      <c r="M124" s="336" t="n"/>
      <c r="N124" s="13" t="n"/>
    </row>
    <row r="125" ht="18" customHeight="1">
      <c r="A125" s="337" t="inlineStr">
        <is>
          <t>1er</t>
        </is>
      </c>
      <c r="B125" s="338" t="n"/>
      <c r="C125" s="370" t="n"/>
      <c r="D125" s="340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15" t="n"/>
    </row>
    <row r="126" ht="18" customHeight="1">
      <c r="A126" s="341" t="inlineStr">
        <is>
          <t>2o</t>
        </is>
      </c>
      <c r="B126" s="342" t="n"/>
      <c r="C126" s="371" t="n"/>
      <c r="D126" s="344" t="n"/>
      <c r="E126" s="345" t="n"/>
      <c r="F126" s="345" t="n"/>
      <c r="G126" s="345" t="n"/>
      <c r="H126" s="345" t="n"/>
      <c r="I126" s="345" t="n"/>
      <c r="J126" s="345" t="n"/>
      <c r="K126" s="345" t="n"/>
      <c r="L126" s="345" t="n"/>
      <c r="M126" s="345" t="n"/>
      <c r="N126" s="15" t="n"/>
    </row>
    <row r="127" ht="18" customHeight="1">
      <c r="A127" s="337" t="inlineStr">
        <is>
          <t>3er</t>
        </is>
      </c>
      <c r="B127" s="338" t="n"/>
      <c r="C127" s="370" t="n"/>
      <c r="D127" s="340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15" t="n"/>
    </row>
    <row r="128" ht="18" customHeight="1">
      <c r="A128" s="341" t="inlineStr">
        <is>
          <t>4o</t>
        </is>
      </c>
      <c r="B128" s="342" t="n"/>
      <c r="C128" s="371" t="n"/>
      <c r="D128" s="344" t="n"/>
      <c r="E128" s="345" t="n"/>
      <c r="F128" s="345" t="n"/>
      <c r="G128" s="345" t="n"/>
      <c r="H128" s="345" t="n"/>
      <c r="I128" s="345" t="n"/>
      <c r="J128" s="345" t="n"/>
      <c r="K128" s="345" t="n"/>
      <c r="L128" s="345" t="n"/>
      <c r="M128" s="345" t="n"/>
      <c r="N128" s="15" t="n"/>
    </row>
    <row r="129" ht="18" customHeight="1">
      <c r="A129" s="337" t="inlineStr">
        <is>
          <t>5o</t>
        </is>
      </c>
      <c r="B129" s="338" t="n"/>
      <c r="C129" s="370" t="n"/>
      <c r="D129" s="340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15" t="n"/>
    </row>
    <row r="130" ht="6" customHeight="1"/>
    <row r="131">
      <c r="A131" s="372" t="inlineStr">
        <is>
          <t>COBRANZA TOTAL GENERAL</t>
        </is>
      </c>
      <c r="B131" s="373" t="n"/>
      <c r="C131" s="373" t="n"/>
      <c r="D131" s="373" t="n"/>
      <c r="E131" s="373" t="n"/>
      <c r="F131" s="373" t="n"/>
      <c r="G131" s="373" t="n"/>
      <c r="H131" s="373" t="n"/>
      <c r="I131" s="373" t="n"/>
      <c r="J131" s="373" t="n"/>
      <c r="K131" s="373" t="n"/>
      <c r="L131" s="373" t="n"/>
      <c r="M131" s="373" t="n"/>
      <c r="N131" s="28" t="n"/>
    </row>
    <row r="132" ht="20" customHeight="1">
      <c r="A132" s="374" t="inlineStr">
        <is>
          <t>Total</t>
        </is>
      </c>
      <c r="B132" s="375" t="n">
        <v>1251614</v>
      </c>
      <c r="C132" s="376" t="n"/>
      <c r="D132" s="376" t="n"/>
      <c r="E132" s="376" t="n"/>
      <c r="F132" s="376" t="n"/>
      <c r="G132" s="376" t="n"/>
      <c r="H132" s="376" t="n"/>
      <c r="I132" s="376" t="n"/>
      <c r="J132" s="376" t="n"/>
      <c r="K132" s="376" t="n"/>
      <c r="L132" s="376" t="n"/>
      <c r="M132" s="376" t="n"/>
    </row>
    <row r="133" ht="18" customHeight="1">
      <c r="A133" s="335" t="inlineStr">
        <is>
          <t>Top 5</t>
        </is>
      </c>
      <c r="C133" s="336" t="n"/>
      <c r="D133" s="336" t="n"/>
      <c r="E133" s="336" t="n"/>
      <c r="F133" s="336" t="n"/>
      <c r="G133" s="336" t="n"/>
      <c r="H133" s="336" t="n"/>
      <c r="I133" s="336" t="n"/>
      <c r="J133" s="336" t="n"/>
      <c r="K133" s="336" t="n"/>
      <c r="L133" s="336" t="n"/>
      <c r="M133" s="336" t="n"/>
      <c r="N133" s="13" t="n"/>
    </row>
    <row r="134" ht="18" customHeight="1">
      <c r="A134" s="337" t="inlineStr">
        <is>
          <t>1er</t>
        </is>
      </c>
      <c r="B134" s="338" t="n"/>
      <c r="C134" s="377" t="inlineStr">
        <is>
          <t>EDGAR</t>
        </is>
      </c>
      <c r="D134" s="340" t="n">
        <v>227673</v>
      </c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15" t="n"/>
    </row>
    <row r="135" ht="18" customHeight="1">
      <c r="A135" s="341" t="inlineStr">
        <is>
          <t>2o</t>
        </is>
      </c>
      <c r="B135" s="342" t="n"/>
      <c r="C135" s="378" t="inlineStr">
        <is>
          <t>JORGE</t>
        </is>
      </c>
      <c r="D135" s="344" t="n">
        <v>170311</v>
      </c>
      <c r="E135" s="345" t="n"/>
      <c r="F135" s="345" t="n"/>
      <c r="G135" s="345" t="n"/>
      <c r="H135" s="345" t="n"/>
      <c r="I135" s="345" t="n"/>
      <c r="J135" s="345" t="n"/>
      <c r="K135" s="345" t="n"/>
      <c r="L135" s="345" t="n"/>
      <c r="M135" s="345" t="n"/>
      <c r="N135" s="15" t="n"/>
    </row>
    <row r="136" ht="18" customHeight="1">
      <c r="A136" s="337" t="inlineStr">
        <is>
          <t>3er</t>
        </is>
      </c>
      <c r="B136" s="338" t="n"/>
      <c r="C136" s="377" t="inlineStr">
        <is>
          <t>V6</t>
        </is>
      </c>
      <c r="D136" s="340" t="n">
        <v>153967</v>
      </c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15" t="n"/>
    </row>
    <row r="137" ht="18" customHeight="1">
      <c r="A137" s="341" t="inlineStr">
        <is>
          <t>4o</t>
        </is>
      </c>
      <c r="B137" s="342" t="n"/>
      <c r="C137" s="378" t="inlineStr">
        <is>
          <t>DEPOSITO</t>
        </is>
      </c>
      <c r="D137" s="344" t="n">
        <v>98765</v>
      </c>
      <c r="E137" s="345" t="n"/>
      <c r="F137" s="345" t="n"/>
      <c r="G137" s="345" t="n"/>
      <c r="H137" s="345" t="n"/>
      <c r="I137" s="345" t="n"/>
      <c r="J137" s="345" t="n"/>
      <c r="K137" s="345" t="n"/>
      <c r="L137" s="345" t="n"/>
      <c r="M137" s="345" t="n"/>
      <c r="N137" s="15" t="n"/>
    </row>
    <row r="138" ht="18" customHeight="1">
      <c r="A138" s="337" t="inlineStr">
        <is>
          <t>5o</t>
        </is>
      </c>
      <c r="B138" s="338" t="n"/>
      <c r="C138" s="377" t="inlineStr">
        <is>
          <t>FRANCISCO</t>
        </is>
      </c>
      <c r="D138" s="340" t="n">
        <v>87654</v>
      </c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15" t="n"/>
    </row>
    <row r="139" ht="6" customHeight="1"/>
    <row r="140">
      <c r="A140" s="379" t="inlineStr">
        <is>
          <t>COBRANZA ADELANTADA F.</t>
        </is>
      </c>
      <c r="B140" s="380" t="n"/>
      <c r="C140" s="380" t="n"/>
      <c r="D140" s="380" t="n"/>
      <c r="E140" s="380" t="n"/>
      <c r="F140" s="380" t="n"/>
      <c r="G140" s="380" t="n"/>
      <c r="H140" s="380" t="n"/>
      <c r="I140" s="380" t="n"/>
      <c r="J140" s="380" t="n"/>
      <c r="K140" s="380" t="n"/>
      <c r="L140" s="380" t="n"/>
      <c r="M140" s="380" t="n"/>
      <c r="N140" s="28" t="n"/>
    </row>
    <row r="141" ht="20" customHeight="1">
      <c r="A141" s="381" t="inlineStr">
        <is>
          <t>Total</t>
        </is>
      </c>
      <c r="B141" s="382" t="n">
        <v>8618</v>
      </c>
      <c r="C141" s="383" t="n"/>
      <c r="D141" s="383" t="n"/>
      <c r="E141" s="383" t="n"/>
      <c r="F141" s="383" t="n"/>
      <c r="G141" s="383" t="n"/>
      <c r="H141" s="383" t="n"/>
      <c r="I141" s="383" t="n"/>
      <c r="J141" s="383" t="n"/>
      <c r="K141" s="383" t="n"/>
      <c r="L141" s="383" t="n"/>
      <c r="M141" s="383" t="n"/>
    </row>
    <row r="142" ht="18" customHeight="1">
      <c r="A142" s="335" t="inlineStr">
        <is>
          <t>Top 5</t>
        </is>
      </c>
      <c r="C142" s="336" t="n"/>
      <c r="D142" s="336" t="n"/>
      <c r="E142" s="336" t="n"/>
      <c r="F142" s="336" t="n"/>
      <c r="G142" s="336" t="n"/>
      <c r="H142" s="336" t="n"/>
      <c r="I142" s="336" t="n"/>
      <c r="J142" s="336" t="n"/>
      <c r="K142" s="336" t="n"/>
      <c r="L142" s="336" t="n"/>
      <c r="M142" s="336" t="n"/>
      <c r="N142" s="13" t="n"/>
    </row>
    <row r="143" ht="18" customHeight="1">
      <c r="A143" s="337" t="inlineStr">
        <is>
          <t>1er</t>
        </is>
      </c>
      <c r="B143" s="338" t="n"/>
      <c r="C143" s="384" t="n"/>
      <c r="D143" s="340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15" t="n"/>
    </row>
    <row r="144" ht="18" customHeight="1">
      <c r="A144" s="341" t="inlineStr">
        <is>
          <t>2o</t>
        </is>
      </c>
      <c r="B144" s="342" t="n"/>
      <c r="C144" s="385" t="n"/>
      <c r="D144" s="344" t="n"/>
      <c r="E144" s="345" t="n"/>
      <c r="F144" s="345" t="n"/>
      <c r="G144" s="345" t="n"/>
      <c r="H144" s="345" t="n"/>
      <c r="I144" s="345" t="n"/>
      <c r="J144" s="345" t="n"/>
      <c r="K144" s="345" t="n"/>
      <c r="L144" s="345" t="n"/>
      <c r="M144" s="345" t="n"/>
      <c r="N144" s="15" t="n"/>
    </row>
    <row r="145" ht="18" customHeight="1">
      <c r="A145" s="337" t="inlineStr">
        <is>
          <t>3er</t>
        </is>
      </c>
      <c r="B145" s="338" t="n"/>
      <c r="C145" s="384" t="n"/>
      <c r="D145" s="340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15" t="n"/>
    </row>
    <row r="146" ht="18" customHeight="1">
      <c r="A146" s="341" t="inlineStr">
        <is>
          <t>4o</t>
        </is>
      </c>
      <c r="B146" s="342" t="n"/>
      <c r="C146" s="385" t="n"/>
      <c r="D146" s="344" t="n"/>
      <c r="E146" s="345" t="n"/>
      <c r="F146" s="345" t="n"/>
      <c r="G146" s="345" t="n"/>
      <c r="H146" s="345" t="n"/>
      <c r="I146" s="345" t="n"/>
      <c r="J146" s="345" t="n"/>
      <c r="K146" s="345" t="n"/>
      <c r="L146" s="345" t="n"/>
      <c r="M146" s="345" t="n"/>
      <c r="N146" s="15" t="n"/>
    </row>
    <row r="147" ht="18" customHeight="1">
      <c r="A147" s="337" t="inlineStr">
        <is>
          <t>5o</t>
        </is>
      </c>
      <c r="B147" s="338" t="n"/>
      <c r="C147" s="384" t="n"/>
      <c r="D147" s="340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15" t="n"/>
    </row>
    <row r="148" ht="6" customHeight="1"/>
    <row r="149">
      <c r="A149" s="386" t="inlineStr">
        <is>
          <t>PROYECCIÓN FEBRERO → FEBRERO</t>
        </is>
      </c>
      <c r="B149" s="387" t="n"/>
      <c r="C149" s="387" t="n"/>
      <c r="D149" s="387" t="n"/>
      <c r="E149" s="387" t="n"/>
      <c r="F149" s="387" t="n"/>
      <c r="G149" s="387" t="n"/>
      <c r="H149" s="387" t="n"/>
      <c r="I149" s="387" t="n"/>
      <c r="J149" s="387" t="n"/>
      <c r="K149" s="387" t="n"/>
      <c r="L149" s="387" t="n"/>
      <c r="M149" s="387" t="n"/>
      <c r="N149" s="28" t="n"/>
    </row>
    <row r="150">
      <c r="A150" s="332" t="inlineStr">
        <is>
          <t>Total</t>
        </is>
      </c>
      <c r="B150" s="333" t="n">
        <v>1158184</v>
      </c>
      <c r="C150" s="334" t="n"/>
      <c r="D150" s="334" t="n"/>
      <c r="E150" s="334" t="n"/>
      <c r="F150" s="334" t="n"/>
      <c r="G150" s="334" t="n"/>
      <c r="H150" s="334" t="n"/>
      <c r="I150" s="334" t="n"/>
      <c r="J150" s="334" t="n"/>
      <c r="K150" s="334" t="n"/>
      <c r="L150" s="334" t="n"/>
      <c r="M150" s="334" t="n"/>
    </row>
    <row r="151">
      <c r="A151" s="388" t="inlineStr">
        <is>
          <t>Top 5</t>
        </is>
      </c>
      <c r="C151" s="389" t="n"/>
      <c r="D151" s="389" t="n"/>
      <c r="E151" s="389" t="n"/>
      <c r="F151" s="389" t="n"/>
      <c r="G151" s="389" t="n"/>
      <c r="H151" s="389" t="n"/>
      <c r="I151" s="389" t="n"/>
      <c r="J151" s="389" t="n"/>
      <c r="K151" s="389" t="n"/>
      <c r="L151" s="389" t="n"/>
      <c r="M151" s="389" t="n"/>
    </row>
    <row r="152" ht="14" customHeight="1">
      <c r="A152" s="337" t="inlineStr">
        <is>
          <t>1er</t>
        </is>
      </c>
      <c r="B152" s="338" t="n"/>
      <c r="C152" s="390" t="n"/>
      <c r="D152" s="391" t="n"/>
      <c r="E152" s="70" t="n"/>
      <c r="F152" s="70" t="n"/>
      <c r="G152" s="70" t="n"/>
      <c r="H152" s="70" t="n"/>
      <c r="I152" s="70" t="n"/>
      <c r="J152" s="70" t="n"/>
      <c r="K152" s="70" t="n"/>
      <c r="L152" s="70" t="n"/>
      <c r="M152" s="70" t="n"/>
    </row>
    <row r="153" ht="22" customHeight="1">
      <c r="A153" s="341" t="inlineStr">
        <is>
          <t>2o</t>
        </is>
      </c>
      <c r="B153" s="342" t="n"/>
      <c r="C153" s="392" t="n"/>
      <c r="D153" s="393" t="n"/>
      <c r="E153" s="394" t="n"/>
      <c r="F153" s="394" t="n"/>
      <c r="G153" s="394" t="n"/>
      <c r="H153" s="394" t="n"/>
      <c r="I153" s="394" t="n"/>
      <c r="J153" s="394" t="n"/>
      <c r="K153" s="394" t="n"/>
      <c r="L153" s="394" t="n"/>
      <c r="M153" s="394" t="n"/>
    </row>
    <row r="154" ht="28" customHeight="1">
      <c r="A154" s="337" t="inlineStr">
        <is>
          <t>3er</t>
        </is>
      </c>
      <c r="B154" s="338" t="inlineStr">
        <is>
          <t>TOTAL ($)</t>
        </is>
      </c>
      <c r="C154" s="339" t="inlineStr">
        <is>
          <t>TOP 1</t>
        </is>
      </c>
      <c r="D154" s="395" t="inlineStr">
        <is>
          <t>TOP 2</t>
        </is>
      </c>
      <c r="E154" s="396" t="inlineStr">
        <is>
          <t>TOP 3</t>
        </is>
      </c>
      <c r="F154" s="396" t="inlineStr">
        <is>
          <t>TOP 4</t>
        </is>
      </c>
      <c r="G154" s="396" t="inlineStr">
        <is>
          <t>TOP 5</t>
        </is>
      </c>
      <c r="H154" s="396" t="inlineStr">
        <is>
          <t>% TOP 1</t>
        </is>
      </c>
      <c r="I154" s="396" t="inlineStr">
        <is>
          <t>% TOP 2</t>
        </is>
      </c>
      <c r="J154" s="396" t="inlineStr">
        <is>
          <t>% TOP 3</t>
        </is>
      </c>
      <c r="K154" s="396" t="inlineStr">
        <is>
          <t>% TOP 4</t>
        </is>
      </c>
      <c r="L154" s="396" t="inlineStr">
        <is>
          <t>% TOP 5</t>
        </is>
      </c>
      <c r="M154" s="396" t="inlineStr">
        <is>
          <t>% ACUM.</t>
        </is>
      </c>
    </row>
    <row r="155">
      <c r="A155" s="397" t="inlineStr">
        <is>
          <t>4o</t>
        </is>
      </c>
      <c r="B155" s="398" t="n"/>
      <c r="C155" s="399" t="n"/>
      <c r="D155" s="400" t="n"/>
      <c r="E155" s="401" t="n"/>
      <c r="F155" s="401" t="n"/>
      <c r="G155" s="401" t="n"/>
      <c r="H155" s="401" t="n"/>
      <c r="I155" s="401" t="n"/>
      <c r="J155" s="401" t="n"/>
      <c r="K155" s="401" t="n"/>
      <c r="L155" s="401" t="n"/>
      <c r="M155" s="401" t="n"/>
      <c r="N155" s="28" t="n"/>
    </row>
    <row r="156">
      <c r="A156" s="337" t="inlineStr">
        <is>
          <t>5o</t>
        </is>
      </c>
      <c r="B156" s="338" t="inlineStr">
        <is>
          <t>MARZO</t>
        </is>
      </c>
      <c r="C156" s="390" t="n"/>
      <c r="D156" s="391" t="n"/>
      <c r="E156" s="16" t="inlineStr">
        <is>
          <t>Año</t>
        </is>
      </c>
      <c r="F156" s="402" t="inlineStr">
        <is>
          <t>2026</t>
        </is>
      </c>
      <c r="G156" s="70" t="n"/>
      <c r="H156" s="70" t="n"/>
      <c r="I156" s="70" t="n"/>
      <c r="J156" s="70" t="n"/>
      <c r="K156" s="70" t="n"/>
      <c r="L156" s="70" t="n"/>
      <c r="M156" s="70" t="n"/>
    </row>
    <row r="157">
      <c r="A157" s="8" t="inlineStr">
        <is>
          <t>Fecha de corte</t>
        </is>
      </c>
      <c r="B157" s="10" t="n"/>
      <c r="E157" s="8" t="inlineStr">
        <is>
          <t>Elaboró</t>
        </is>
      </c>
      <c r="F157" s="10" t="n"/>
    </row>
    <row r="158">
      <c r="A158" s="8" t="inlineStr">
        <is>
          <t>Reportado por</t>
        </is>
      </c>
      <c r="B158" s="10" t="n"/>
      <c r="E158" s="8" t="inlineStr">
        <is>
          <t>Cargo</t>
        </is>
      </c>
      <c r="F158" s="10" t="n"/>
    </row>
    <row r="159" ht="6" customHeight="1"/>
    <row r="160">
      <c r="A160" s="35" t="inlineStr">
        <is>
          <t>COBRANZA CORRIENTE</t>
        </is>
      </c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</row>
    <row r="161" ht="20" customHeight="1">
      <c r="A161" s="8" t="inlineStr">
        <is>
          <t>Total</t>
        </is>
      </c>
      <c r="B161" s="11" t="n"/>
    </row>
    <row r="162" ht="18" customHeight="1">
      <c r="A162" s="12" t="inlineStr">
        <is>
          <t>Top 5</t>
        </is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 ht="18" customHeight="1">
      <c r="A163" s="14" t="inlineStr">
        <is>
          <t>1er lugar</t>
        </is>
      </c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</row>
    <row r="164" ht="18" customHeight="1">
      <c r="A164" s="14" t="inlineStr">
        <is>
          <t>2o lugar</t>
        </is>
      </c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</row>
    <row r="165" ht="18" customHeight="1">
      <c r="A165" s="14" t="inlineStr">
        <is>
          <t>3er lugar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</row>
    <row r="166" ht="18" customHeight="1">
      <c r="A166" s="14" t="inlineStr">
        <is>
          <t>4o lugar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</row>
    <row r="167" ht="18" customHeight="1">
      <c r="A167" s="14" t="inlineStr">
        <is>
          <t>5o lugar</t>
        </is>
      </c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</row>
    <row r="168" ht="6" customHeight="1"/>
    <row r="169">
      <c r="A169" s="35" t="inlineStr">
        <is>
          <t>CANCELACIONES</t>
        </is>
      </c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</row>
    <row r="170" ht="20" customHeight="1">
      <c r="A170" s="16" t="inlineStr">
        <is>
          <t>Total</t>
        </is>
      </c>
      <c r="B170" s="17" t="n"/>
    </row>
    <row r="171" ht="18" customHeight="1">
      <c r="A171" s="12" t="inlineStr">
        <is>
          <t>Top 5</t>
        </is>
      </c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</row>
    <row r="172" ht="18" customHeight="1">
      <c r="A172" s="14" t="inlineStr">
        <is>
          <t>1er lugar</t>
        </is>
      </c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</row>
    <row r="173" ht="18" customHeight="1">
      <c r="A173" s="14" t="inlineStr">
        <is>
          <t>2o lugar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</row>
    <row r="174" ht="18" customHeight="1">
      <c r="A174" s="14" t="inlineStr">
        <is>
          <t>3er lugar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</row>
    <row r="175" ht="18" customHeight="1">
      <c r="A175" s="14" t="inlineStr">
        <is>
          <t>4o lugar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</row>
    <row r="176" ht="18" customHeight="1">
      <c r="A176" s="14" t="inlineStr">
        <is>
          <t>5o lugar</t>
        </is>
      </c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</row>
    <row r="177" ht="6" customHeight="1"/>
    <row r="178">
      <c r="A178" s="35" t="inlineStr">
        <is>
          <t>COBRANZA VENCIDA</t>
        </is>
      </c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</row>
    <row r="179" ht="20" customHeight="1">
      <c r="A179" s="8" t="inlineStr">
        <is>
          <t>Total</t>
        </is>
      </c>
      <c r="B179" s="11" t="n"/>
    </row>
    <row r="180" ht="18" customHeight="1">
      <c r="A180" s="12" t="inlineStr">
        <is>
          <t>Top 5</t>
        </is>
      </c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 ht="18" customHeight="1">
      <c r="A181" s="14" t="inlineStr">
        <is>
          <t>1er lugar</t>
        </is>
      </c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</row>
    <row r="182" ht="18" customHeight="1">
      <c r="A182" s="14" t="inlineStr">
        <is>
          <t>2o lugar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</row>
    <row r="183" ht="18" customHeight="1">
      <c r="A183" s="14" t="inlineStr">
        <is>
          <t>3er lugar</t>
        </is>
      </c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</row>
    <row r="184" ht="18" customHeight="1">
      <c r="A184" s="14" t="inlineStr">
        <is>
          <t>4o lugar</t>
        </is>
      </c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</row>
    <row r="185" ht="18" customHeight="1">
      <c r="A185" s="14" t="inlineStr">
        <is>
          <t>5o lugar</t>
        </is>
      </c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</row>
    <row r="186" ht="6" customHeight="1"/>
    <row r="187">
      <c r="A187" s="35" t="inlineStr">
        <is>
          <t>COBRANZA EFECTIVA</t>
        </is>
      </c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</row>
    <row r="188" ht="20" customHeight="1">
      <c r="A188" s="16" t="inlineStr">
        <is>
          <t>Total</t>
        </is>
      </c>
      <c r="B188" s="17" t="n"/>
    </row>
    <row r="189" ht="18" customHeight="1">
      <c r="A189" s="12" t="inlineStr">
        <is>
          <t>Top 5</t>
        </is>
      </c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</row>
    <row r="190" ht="18" customHeight="1">
      <c r="A190" s="14" t="inlineStr">
        <is>
          <t>1er lugar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</row>
    <row r="191" ht="18" customHeight="1">
      <c r="A191" s="14" t="inlineStr">
        <is>
          <t>2o lugar</t>
        </is>
      </c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</row>
    <row r="192" ht="18" customHeight="1">
      <c r="A192" s="14" t="inlineStr">
        <is>
          <t>3er lugar</t>
        </is>
      </c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</row>
    <row r="193" ht="18" customHeight="1">
      <c r="A193" s="14" t="inlineStr">
        <is>
          <t>4o lugar</t>
        </is>
      </c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</row>
    <row r="194" ht="18" customHeight="1">
      <c r="A194" s="14" t="inlineStr">
        <is>
          <t>5o lugar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</row>
    <row r="195" ht="6" customHeight="1"/>
    <row r="196">
      <c r="A196" s="35" t="inlineStr">
        <is>
          <t>COBRANZA RECUPERADA</t>
        </is>
      </c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</row>
    <row r="197" ht="20" customHeight="1">
      <c r="A197" s="8" t="inlineStr">
        <is>
          <t>Total</t>
        </is>
      </c>
      <c r="B197" s="11" t="n"/>
    </row>
    <row r="198" ht="18" customHeight="1">
      <c r="A198" s="12" t="inlineStr">
        <is>
          <t>Top 5</t>
        </is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 ht="18" customHeight="1">
      <c r="A199" s="14" t="inlineStr">
        <is>
          <t>1er lugar</t>
        </is>
      </c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</row>
    <row r="200" ht="18" customHeight="1">
      <c r="A200" s="14" t="inlineStr">
        <is>
          <t>2o lugar</t>
        </is>
      </c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</row>
    <row r="201" ht="18" customHeight="1">
      <c r="A201" s="14" t="inlineStr">
        <is>
          <t>3er lugar</t>
        </is>
      </c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</row>
    <row r="202" ht="18" customHeight="1">
      <c r="A202" s="14" t="inlineStr">
        <is>
          <t>4o lugar</t>
        </is>
      </c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</row>
    <row r="203" ht="18" customHeight="1">
      <c r="A203" s="14" t="inlineStr">
        <is>
          <t>5o lugar</t>
        </is>
      </c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</row>
    <row r="204" ht="6" customHeight="1"/>
    <row r="205">
      <c r="A205" s="35" t="inlineStr">
        <is>
          <t>COBRANZA TOTAL GENERAL</t>
        </is>
      </c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</row>
    <row r="206" ht="20" customHeight="1">
      <c r="A206" s="16" t="inlineStr">
        <is>
          <t>Total</t>
        </is>
      </c>
      <c r="B206" s="17" t="n"/>
    </row>
    <row r="207" ht="18" customHeight="1">
      <c r="A207" s="12" t="inlineStr">
        <is>
          <t>Top 5</t>
        </is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</row>
    <row r="208" ht="18" customHeight="1">
      <c r="A208" s="14" t="inlineStr">
        <is>
          <t>1er lugar</t>
        </is>
      </c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</row>
    <row r="209" ht="18" customHeight="1">
      <c r="A209" s="14" t="inlineStr">
        <is>
          <t>2o lugar</t>
        </is>
      </c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</row>
    <row r="210" ht="18" customHeight="1">
      <c r="A210" s="14" t="inlineStr">
        <is>
          <t>3er lugar</t>
        </is>
      </c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</row>
    <row r="211" ht="18" customHeight="1">
      <c r="A211" s="14" t="inlineStr">
        <is>
          <t>4o lugar</t>
        </is>
      </c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</row>
    <row r="212" ht="18" customHeight="1">
      <c r="A212" s="14" t="inlineStr">
        <is>
          <t>5o lugar</t>
        </is>
      </c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</row>
    <row r="213" ht="6" customHeight="1"/>
    <row r="214">
      <c r="A214" s="35" t="inlineStr">
        <is>
          <t>COBRANZA ADELANTADA F.</t>
        </is>
      </c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</row>
    <row r="215" ht="20" customHeight="1">
      <c r="A215" s="8" t="inlineStr">
        <is>
          <t>Total</t>
        </is>
      </c>
      <c r="B215" s="11" t="n"/>
    </row>
    <row r="216" ht="18" customHeight="1">
      <c r="A216" s="12" t="inlineStr">
        <is>
          <t>Top 5</t>
        </is>
      </c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 ht="18" customHeight="1">
      <c r="A217" s="14" t="inlineStr">
        <is>
          <t>1er lugar</t>
        </is>
      </c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</row>
    <row r="218" ht="18" customHeight="1">
      <c r="A218" s="14" t="inlineStr">
        <is>
          <t>2o lugar</t>
        </is>
      </c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</row>
    <row r="219" ht="18" customHeight="1">
      <c r="A219" s="14" t="inlineStr">
        <is>
          <t>3er lugar</t>
        </is>
      </c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</row>
    <row r="220" ht="18" customHeight="1">
      <c r="A220" s="14" t="inlineStr">
        <is>
          <t>4o lugar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</row>
    <row r="221" ht="18" customHeight="1">
      <c r="A221" s="14" t="inlineStr">
        <is>
          <t>5o lugar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</row>
    <row r="222" ht="6" customHeight="1"/>
    <row r="223">
      <c r="A223" s="82" t="inlineStr">
        <is>
          <t>PROYECCIÓN MARZO → MARZO</t>
        </is>
      </c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</row>
    <row r="224">
      <c r="A224" s="19" t="inlineStr">
        <is>
          <t>Proyección MARZO</t>
        </is>
      </c>
      <c r="B224" s="20" t="n"/>
    </row>
    <row r="226" ht="14" customHeight="1"/>
    <row r="227" ht="22" customHeight="1">
      <c r="A227" s="4" t="inlineStr">
        <is>
          <t>ABRIL 2026</t>
        </is>
      </c>
    </row>
    <row r="228" ht="28" customHeight="1">
      <c r="A228" s="5" t="inlineStr">
        <is>
          <t>CONCEPTO</t>
        </is>
      </c>
      <c r="B228" s="5" t="inlineStr">
        <is>
          <t>TOTAL ($)</t>
        </is>
      </c>
      <c r="C228" s="5" t="inlineStr">
        <is>
          <t>TOP 1</t>
        </is>
      </c>
      <c r="D228" s="5" t="inlineStr">
        <is>
          <t>TOP 2</t>
        </is>
      </c>
      <c r="E228" s="5" t="inlineStr">
        <is>
          <t>TOP 3</t>
        </is>
      </c>
      <c r="F228" s="5" t="inlineStr">
        <is>
          <t>TOP 4</t>
        </is>
      </c>
      <c r="G228" s="5" t="inlineStr">
        <is>
          <t>TOP 5</t>
        </is>
      </c>
      <c r="H228" s="5" t="inlineStr">
        <is>
          <t>% TOP 1</t>
        </is>
      </c>
      <c r="I228" s="5" t="inlineStr">
        <is>
          <t>% TOP 2</t>
        </is>
      </c>
      <c r="J228" s="5" t="inlineStr">
        <is>
          <t>% TOP 3</t>
        </is>
      </c>
      <c r="K228" s="5" t="inlineStr">
        <is>
          <t>% TOP 4</t>
        </is>
      </c>
      <c r="L228" s="5" t="inlineStr">
        <is>
          <t>% TOP 5</t>
        </is>
      </c>
      <c r="M228" s="5" t="inlineStr">
        <is>
          <t>% ACUM.</t>
        </is>
      </c>
    </row>
    <row r="229">
      <c r="A229" s="35" t="inlineStr">
        <is>
          <t>DATOS GENERALES</t>
        </is>
      </c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</row>
    <row r="230">
      <c r="A230" s="8" t="inlineStr">
        <is>
          <t>Mes</t>
        </is>
      </c>
      <c r="B230" s="9" t="inlineStr">
        <is>
          <t>ABRIL</t>
        </is>
      </c>
      <c r="E230" s="8" t="inlineStr">
        <is>
          <t>Año</t>
        </is>
      </c>
      <c r="F230" s="9" t="inlineStr">
        <is>
          <t>2026</t>
        </is>
      </c>
    </row>
    <row r="231">
      <c r="A231" s="8" t="inlineStr">
        <is>
          <t>Fecha de corte</t>
        </is>
      </c>
      <c r="B231" s="10" t="n"/>
      <c r="E231" s="8" t="inlineStr">
        <is>
          <t>Elaboró</t>
        </is>
      </c>
      <c r="F231" s="10" t="n"/>
    </row>
    <row r="232">
      <c r="A232" s="8" t="inlineStr">
        <is>
          <t>Reportado por</t>
        </is>
      </c>
      <c r="B232" s="10" t="n"/>
      <c r="E232" s="8" t="inlineStr">
        <is>
          <t>Cargo</t>
        </is>
      </c>
      <c r="F232" s="10" t="n"/>
    </row>
    <row r="233" ht="6" customHeight="1"/>
    <row r="234">
      <c r="A234" s="35" t="inlineStr">
        <is>
          <t>COBRANZA CORRIENTE</t>
        </is>
      </c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</row>
    <row r="235" ht="20" customHeight="1">
      <c r="A235" s="8" t="inlineStr">
        <is>
          <t>Total</t>
        </is>
      </c>
      <c r="B235" s="11" t="n"/>
    </row>
    <row r="236" ht="18" customHeight="1">
      <c r="A236" s="12" t="inlineStr">
        <is>
          <t>Top 5</t>
        </is>
      </c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 ht="18" customHeight="1">
      <c r="A237" s="14" t="inlineStr">
        <is>
          <t>1er lugar</t>
        </is>
      </c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</row>
    <row r="238" ht="18" customHeight="1">
      <c r="A238" s="14" t="inlineStr">
        <is>
          <t>2o lugar</t>
        </is>
      </c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</row>
    <row r="239" ht="18" customHeight="1">
      <c r="A239" s="14" t="inlineStr">
        <is>
          <t>3er lugar</t>
        </is>
      </c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</row>
    <row r="240" ht="18" customHeight="1">
      <c r="A240" s="14" t="inlineStr">
        <is>
          <t>4o lugar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</row>
    <row r="241" ht="18" customHeight="1">
      <c r="A241" s="14" t="inlineStr">
        <is>
          <t>5o lugar</t>
        </is>
      </c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</row>
    <row r="242" ht="6" customHeight="1"/>
    <row r="243">
      <c r="A243" s="35" t="inlineStr">
        <is>
          <t>CANCELACIONES</t>
        </is>
      </c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</row>
    <row r="244" ht="20" customHeight="1">
      <c r="A244" s="16" t="inlineStr">
        <is>
          <t>Total</t>
        </is>
      </c>
      <c r="B244" s="17" t="n"/>
    </row>
    <row r="245" ht="18" customHeight="1">
      <c r="A245" s="12" t="inlineStr">
        <is>
          <t>Top 5</t>
        </is>
      </c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</row>
    <row r="246" ht="18" customHeight="1">
      <c r="A246" s="14" t="inlineStr">
        <is>
          <t>1er lugar</t>
        </is>
      </c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</row>
    <row r="247" ht="18" customHeight="1">
      <c r="A247" s="14" t="inlineStr">
        <is>
          <t>2o lugar</t>
        </is>
      </c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</row>
    <row r="248" ht="18" customHeight="1">
      <c r="A248" s="14" t="inlineStr">
        <is>
          <t>3er lugar</t>
        </is>
      </c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</row>
    <row r="249" ht="18" customHeight="1">
      <c r="A249" s="14" t="inlineStr">
        <is>
          <t>4o lugar</t>
        </is>
      </c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</row>
    <row r="250" ht="18" customHeight="1">
      <c r="A250" s="14" t="inlineStr">
        <is>
          <t>5o lugar</t>
        </is>
      </c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</row>
    <row r="251" ht="6" customHeight="1"/>
    <row r="252">
      <c r="A252" s="35" t="inlineStr">
        <is>
          <t>COBRANZA VENCIDA</t>
        </is>
      </c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</row>
    <row r="253" ht="20" customHeight="1">
      <c r="A253" s="8" t="inlineStr">
        <is>
          <t>Total</t>
        </is>
      </c>
      <c r="B253" s="11" t="n"/>
    </row>
    <row r="254" ht="18" customHeight="1">
      <c r="A254" s="12" t="inlineStr">
        <is>
          <t>Top 5</t>
        </is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 ht="18" customHeight="1">
      <c r="A255" s="14" t="inlineStr">
        <is>
          <t>1er lugar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</row>
    <row r="256" ht="18" customHeight="1">
      <c r="A256" s="14" t="inlineStr">
        <is>
          <t>2o lugar</t>
        </is>
      </c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</row>
    <row r="257" ht="18" customHeight="1">
      <c r="A257" s="14" t="inlineStr">
        <is>
          <t>3er lugar</t>
        </is>
      </c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</row>
    <row r="258" ht="18" customHeight="1">
      <c r="A258" s="14" t="inlineStr">
        <is>
          <t>4o lugar</t>
        </is>
      </c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</row>
    <row r="259" ht="18" customHeight="1">
      <c r="A259" s="14" t="inlineStr">
        <is>
          <t>5o lugar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</row>
    <row r="260" ht="6" customHeight="1"/>
    <row r="261">
      <c r="A261" s="35" t="inlineStr">
        <is>
          <t>COBRANZA EFECTIVA</t>
        </is>
      </c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</row>
    <row r="262" ht="20" customHeight="1">
      <c r="A262" s="16" t="inlineStr">
        <is>
          <t>Total</t>
        </is>
      </c>
      <c r="B262" s="17" t="n"/>
    </row>
    <row r="263" ht="18" customHeight="1">
      <c r="A263" s="12" t="inlineStr">
        <is>
          <t>Top 5</t>
        </is>
      </c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</row>
    <row r="264" ht="18" customHeight="1">
      <c r="A264" s="14" t="inlineStr">
        <is>
          <t>1er lugar</t>
        </is>
      </c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</row>
    <row r="265" ht="18" customHeight="1">
      <c r="A265" s="14" t="inlineStr">
        <is>
          <t>2o lugar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</row>
    <row r="266" ht="18" customHeight="1">
      <c r="A266" s="14" t="inlineStr">
        <is>
          <t>3er lugar</t>
        </is>
      </c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</row>
    <row r="267" ht="18" customHeight="1">
      <c r="A267" s="14" t="inlineStr">
        <is>
          <t>4o lugar</t>
        </is>
      </c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</row>
    <row r="268" ht="18" customHeight="1">
      <c r="A268" s="14" t="inlineStr">
        <is>
          <t>5o lugar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</row>
    <row r="269" ht="6" customHeight="1"/>
    <row r="270">
      <c r="A270" s="35" t="inlineStr">
        <is>
          <t>COBRANZA RECUPERADA</t>
        </is>
      </c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</row>
    <row r="271" ht="20" customHeight="1">
      <c r="A271" s="8" t="inlineStr">
        <is>
          <t>Total</t>
        </is>
      </c>
      <c r="B271" s="11" t="n"/>
    </row>
    <row r="272" ht="18" customHeight="1">
      <c r="A272" s="12" t="inlineStr">
        <is>
          <t>Top 5</t>
        </is>
      </c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 ht="18" customHeight="1">
      <c r="A273" s="14" t="inlineStr">
        <is>
          <t>1er lugar</t>
        </is>
      </c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</row>
    <row r="274" ht="18" customHeight="1">
      <c r="A274" s="14" t="inlineStr">
        <is>
          <t>2o lugar</t>
        </is>
      </c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</row>
    <row r="275" ht="18" customHeight="1">
      <c r="A275" s="14" t="inlineStr">
        <is>
          <t>3er lugar</t>
        </is>
      </c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</row>
    <row r="276" ht="18" customHeight="1">
      <c r="A276" s="14" t="inlineStr">
        <is>
          <t>4o lugar</t>
        </is>
      </c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</row>
    <row r="277" ht="18" customHeight="1">
      <c r="A277" s="14" t="inlineStr">
        <is>
          <t>5o lugar</t>
        </is>
      </c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</row>
    <row r="278" ht="6" customHeight="1"/>
    <row r="279">
      <c r="A279" s="35" t="inlineStr">
        <is>
          <t>COBRANZA TOTAL GENERAL</t>
        </is>
      </c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</row>
    <row r="280" ht="20" customHeight="1">
      <c r="A280" s="16" t="inlineStr">
        <is>
          <t>Total</t>
        </is>
      </c>
      <c r="B280" s="17" t="n"/>
    </row>
    <row r="281" ht="18" customHeight="1">
      <c r="A281" s="12" t="inlineStr">
        <is>
          <t>Top 5</t>
        </is>
      </c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</row>
    <row r="282" ht="18" customHeight="1">
      <c r="A282" s="14" t="inlineStr">
        <is>
          <t>1er lugar</t>
        </is>
      </c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</row>
    <row r="283" ht="18" customHeight="1">
      <c r="A283" s="14" t="inlineStr">
        <is>
          <t>2o lugar</t>
        </is>
      </c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</row>
    <row r="284" ht="18" customHeight="1">
      <c r="A284" s="14" t="inlineStr">
        <is>
          <t>3er lugar</t>
        </is>
      </c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</row>
    <row r="285" ht="18" customHeight="1">
      <c r="A285" s="14" t="inlineStr">
        <is>
          <t>4o lugar</t>
        </is>
      </c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</row>
    <row r="286" ht="18" customHeight="1">
      <c r="A286" s="14" t="inlineStr">
        <is>
          <t>5o lugar</t>
        </is>
      </c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</row>
    <row r="287" ht="6" customHeight="1"/>
    <row r="288">
      <c r="A288" s="35" t="inlineStr">
        <is>
          <t>COBRANZA ADELANTADA F.</t>
        </is>
      </c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</row>
    <row r="289" ht="20" customHeight="1">
      <c r="A289" s="8" t="inlineStr">
        <is>
          <t>Total</t>
        </is>
      </c>
      <c r="B289" s="11" t="n"/>
    </row>
    <row r="290" ht="18" customHeight="1">
      <c r="A290" s="12" t="inlineStr">
        <is>
          <t>Top 5</t>
        </is>
      </c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 ht="18" customHeight="1">
      <c r="A291" s="14" t="inlineStr">
        <is>
          <t>1er lugar</t>
        </is>
      </c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</row>
    <row r="292" ht="18" customHeight="1">
      <c r="A292" s="14" t="inlineStr">
        <is>
          <t>2o lugar</t>
        </is>
      </c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</row>
    <row r="293" ht="18" customHeight="1">
      <c r="A293" s="14" t="inlineStr">
        <is>
          <t>3er lugar</t>
        </is>
      </c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</row>
    <row r="294" ht="18" customHeight="1">
      <c r="A294" s="14" t="inlineStr">
        <is>
          <t>4o lugar</t>
        </is>
      </c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</row>
    <row r="295" ht="18" customHeight="1">
      <c r="A295" s="14" t="inlineStr">
        <is>
          <t>5o lugar</t>
        </is>
      </c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</row>
    <row r="296" ht="6" customHeight="1"/>
    <row r="297">
      <c r="A297" s="82" t="inlineStr">
        <is>
          <t>PROYECCIÓN ABRIL → ABRIL</t>
        </is>
      </c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</row>
    <row r="298">
      <c r="A298" s="19" t="inlineStr">
        <is>
          <t>Proyección ABRIL</t>
        </is>
      </c>
      <c r="B298" s="20" t="n"/>
    </row>
    <row r="300" ht="14" customHeight="1"/>
    <row r="301" ht="22" customHeight="1">
      <c r="A301" s="4" t="inlineStr">
        <is>
          <t>MAYO 2026</t>
        </is>
      </c>
    </row>
    <row r="302" ht="28" customHeight="1">
      <c r="A302" s="5" t="inlineStr">
        <is>
          <t>CONCEPTO</t>
        </is>
      </c>
      <c r="B302" s="5" t="inlineStr">
        <is>
          <t>TOTAL ($)</t>
        </is>
      </c>
      <c r="C302" s="5" t="inlineStr">
        <is>
          <t>TOP 1</t>
        </is>
      </c>
      <c r="D302" s="5" t="inlineStr">
        <is>
          <t>TOP 2</t>
        </is>
      </c>
      <c r="E302" s="5" t="inlineStr">
        <is>
          <t>TOP 3</t>
        </is>
      </c>
      <c r="F302" s="5" t="inlineStr">
        <is>
          <t>TOP 4</t>
        </is>
      </c>
      <c r="G302" s="5" t="inlineStr">
        <is>
          <t>TOP 5</t>
        </is>
      </c>
      <c r="H302" s="5" t="inlineStr">
        <is>
          <t>% TOP 1</t>
        </is>
      </c>
      <c r="I302" s="5" t="inlineStr">
        <is>
          <t>% TOP 2</t>
        </is>
      </c>
      <c r="J302" s="5" t="inlineStr">
        <is>
          <t>% TOP 3</t>
        </is>
      </c>
      <c r="K302" s="5" t="inlineStr">
        <is>
          <t>% TOP 4</t>
        </is>
      </c>
      <c r="L302" s="5" t="inlineStr">
        <is>
          <t>% TOP 5</t>
        </is>
      </c>
      <c r="M302" s="5" t="inlineStr">
        <is>
          <t>% ACUM.</t>
        </is>
      </c>
    </row>
    <row r="303">
      <c r="A303" s="35" t="inlineStr">
        <is>
          <t>DATOS GENERALES</t>
        </is>
      </c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</row>
    <row r="304">
      <c r="A304" s="8" t="inlineStr">
        <is>
          <t>Mes</t>
        </is>
      </c>
      <c r="B304" s="9" t="inlineStr">
        <is>
          <t>MAYO</t>
        </is>
      </c>
      <c r="E304" s="8" t="inlineStr">
        <is>
          <t>Año</t>
        </is>
      </c>
      <c r="F304" s="9" t="inlineStr">
        <is>
          <t>2026</t>
        </is>
      </c>
    </row>
    <row r="305">
      <c r="A305" s="8" t="inlineStr">
        <is>
          <t>Fecha de corte</t>
        </is>
      </c>
      <c r="B305" s="10" t="n"/>
      <c r="E305" s="8" t="inlineStr">
        <is>
          <t>Elaboró</t>
        </is>
      </c>
      <c r="F305" s="10" t="n"/>
    </row>
    <row r="306">
      <c r="A306" s="8" t="inlineStr">
        <is>
          <t>Reportado por</t>
        </is>
      </c>
      <c r="B306" s="10" t="n"/>
      <c r="E306" s="8" t="inlineStr">
        <is>
          <t>Cargo</t>
        </is>
      </c>
      <c r="F306" s="10" t="n"/>
    </row>
    <row r="307" ht="6" customHeight="1"/>
    <row r="308">
      <c r="A308" s="35" t="inlineStr">
        <is>
          <t>COBRANZA CORRIENTE</t>
        </is>
      </c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</row>
    <row r="309" ht="20" customHeight="1">
      <c r="A309" s="8" t="inlineStr">
        <is>
          <t>Total</t>
        </is>
      </c>
      <c r="B309" s="11" t="n"/>
    </row>
    <row r="310" ht="18" customHeight="1">
      <c r="A310" s="12" t="inlineStr">
        <is>
          <t>Top 5</t>
        </is>
      </c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 ht="18" customHeight="1">
      <c r="A311" s="14" t="inlineStr">
        <is>
          <t>1er lugar</t>
        </is>
      </c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</row>
    <row r="312" ht="18" customHeight="1">
      <c r="A312" s="14" t="inlineStr">
        <is>
          <t>2o lugar</t>
        </is>
      </c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</row>
    <row r="313" ht="18" customHeight="1">
      <c r="A313" s="14" t="inlineStr">
        <is>
          <t>3er lugar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</row>
    <row r="314" ht="18" customHeight="1">
      <c r="A314" s="14" t="inlineStr">
        <is>
          <t>4o lugar</t>
        </is>
      </c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</row>
    <row r="315" ht="18" customHeight="1">
      <c r="A315" s="14" t="inlineStr">
        <is>
          <t>5o lugar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</row>
    <row r="316" ht="6" customHeight="1"/>
    <row r="317">
      <c r="A317" s="35" t="inlineStr">
        <is>
          <t>CANCELACIONES</t>
        </is>
      </c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</row>
    <row r="318" ht="20" customHeight="1">
      <c r="A318" s="16" t="inlineStr">
        <is>
          <t>Total</t>
        </is>
      </c>
      <c r="B318" s="17" t="n"/>
    </row>
    <row r="319" ht="18" customHeight="1">
      <c r="A319" s="12" t="inlineStr">
        <is>
          <t>Top 5</t>
        </is>
      </c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</row>
    <row r="320" ht="18" customHeight="1">
      <c r="A320" s="14" t="inlineStr">
        <is>
          <t>1er lugar</t>
        </is>
      </c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</row>
    <row r="321" ht="18" customHeight="1">
      <c r="A321" s="14" t="inlineStr">
        <is>
          <t>2o lugar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</row>
    <row r="322" ht="18" customHeight="1">
      <c r="A322" s="14" t="inlineStr">
        <is>
          <t>3er lugar</t>
        </is>
      </c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</row>
    <row r="323" ht="18" customHeight="1">
      <c r="A323" s="14" t="inlineStr">
        <is>
          <t>4o lugar</t>
        </is>
      </c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</row>
    <row r="324" ht="18" customHeight="1">
      <c r="A324" s="14" t="inlineStr">
        <is>
          <t>5o lugar</t>
        </is>
      </c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</row>
    <row r="325" ht="6" customHeight="1"/>
    <row r="326">
      <c r="A326" s="35" t="inlineStr">
        <is>
          <t>COBRANZA VENCIDA</t>
        </is>
      </c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</row>
    <row r="327" ht="20" customHeight="1">
      <c r="A327" s="8" t="inlineStr">
        <is>
          <t>Total</t>
        </is>
      </c>
      <c r="B327" s="11" t="n"/>
    </row>
    <row r="328" ht="18" customHeight="1">
      <c r="A328" s="12" t="inlineStr">
        <is>
          <t>Top 5</t>
        </is>
      </c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 ht="18" customHeight="1">
      <c r="A329" s="14" t="inlineStr">
        <is>
          <t>1er lugar</t>
        </is>
      </c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</row>
    <row r="330" ht="18" customHeight="1">
      <c r="A330" s="14" t="inlineStr">
        <is>
          <t>2o lugar</t>
        </is>
      </c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</row>
    <row r="331" ht="18" customHeight="1">
      <c r="A331" s="14" t="inlineStr">
        <is>
          <t>3er lugar</t>
        </is>
      </c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</row>
    <row r="332" ht="18" customHeight="1">
      <c r="A332" s="14" t="inlineStr">
        <is>
          <t>4o lugar</t>
        </is>
      </c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</row>
    <row r="333" ht="18" customHeight="1">
      <c r="A333" s="14" t="inlineStr">
        <is>
          <t>5o lugar</t>
        </is>
      </c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</row>
    <row r="334" ht="6" customHeight="1"/>
    <row r="335">
      <c r="A335" s="35" t="inlineStr">
        <is>
          <t>COBRANZA EFECTIVA</t>
        </is>
      </c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</row>
    <row r="336" ht="20" customHeight="1">
      <c r="A336" s="16" t="inlineStr">
        <is>
          <t>Total</t>
        </is>
      </c>
      <c r="B336" s="17" t="n"/>
    </row>
    <row r="337" ht="18" customHeight="1">
      <c r="A337" s="12" t="inlineStr">
        <is>
          <t>Top 5</t>
        </is>
      </c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</row>
    <row r="338" ht="18" customHeight="1">
      <c r="A338" s="14" t="inlineStr">
        <is>
          <t>1er lugar</t>
        </is>
      </c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</row>
    <row r="339" ht="18" customHeight="1">
      <c r="A339" s="14" t="inlineStr">
        <is>
          <t>2o lugar</t>
        </is>
      </c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</row>
    <row r="340" ht="18" customHeight="1">
      <c r="A340" s="14" t="inlineStr">
        <is>
          <t>3er lugar</t>
        </is>
      </c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</row>
    <row r="341" ht="18" customHeight="1">
      <c r="A341" s="14" t="inlineStr">
        <is>
          <t>4o lugar</t>
        </is>
      </c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</row>
    <row r="342" ht="18" customHeight="1">
      <c r="A342" s="14" t="inlineStr">
        <is>
          <t>5o lugar</t>
        </is>
      </c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</row>
    <row r="343" ht="6" customHeight="1"/>
    <row r="344">
      <c r="A344" s="35" t="inlineStr">
        <is>
          <t>COBRANZA RECUPERADA</t>
        </is>
      </c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</row>
    <row r="345" ht="20" customHeight="1">
      <c r="A345" s="8" t="inlineStr">
        <is>
          <t>Total</t>
        </is>
      </c>
      <c r="B345" s="11" t="n"/>
    </row>
    <row r="346" ht="18" customHeight="1">
      <c r="A346" s="12" t="inlineStr">
        <is>
          <t>Top 5</t>
        </is>
      </c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 ht="18" customHeight="1">
      <c r="A347" s="14" t="inlineStr">
        <is>
          <t>1er lugar</t>
        </is>
      </c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</row>
    <row r="348" ht="18" customHeight="1">
      <c r="A348" s="14" t="inlineStr">
        <is>
          <t>2o lugar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</row>
    <row r="349" ht="18" customHeight="1">
      <c r="A349" s="14" t="inlineStr">
        <is>
          <t>3er lugar</t>
        </is>
      </c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</row>
    <row r="350" ht="18" customHeight="1">
      <c r="A350" s="14" t="inlineStr">
        <is>
          <t>4o lugar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</row>
    <row r="351" ht="18" customHeight="1">
      <c r="A351" s="14" t="inlineStr">
        <is>
          <t>5o lugar</t>
        </is>
      </c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</row>
    <row r="352" ht="6" customHeight="1"/>
    <row r="353">
      <c r="A353" s="35" t="inlineStr">
        <is>
          <t>COBRANZA TOTAL GENERAL</t>
        </is>
      </c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</row>
    <row r="354" ht="20" customHeight="1">
      <c r="A354" s="16" t="inlineStr">
        <is>
          <t>Total</t>
        </is>
      </c>
      <c r="B354" s="17" t="n"/>
    </row>
    <row r="355" ht="18" customHeight="1">
      <c r="A355" s="12" t="inlineStr">
        <is>
          <t>Top 5</t>
        </is>
      </c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</row>
    <row r="356" ht="18" customHeight="1">
      <c r="A356" s="14" t="inlineStr">
        <is>
          <t>1er lugar</t>
        </is>
      </c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</row>
    <row r="357" ht="18" customHeight="1">
      <c r="A357" s="14" t="inlineStr">
        <is>
          <t>2o lugar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</row>
    <row r="358" ht="18" customHeight="1">
      <c r="A358" s="14" t="inlineStr">
        <is>
          <t>3er lugar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</row>
    <row r="359" ht="18" customHeight="1">
      <c r="A359" s="14" t="inlineStr">
        <is>
          <t>4o lugar</t>
        </is>
      </c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</row>
    <row r="360" ht="18" customHeight="1">
      <c r="A360" s="14" t="inlineStr">
        <is>
          <t>5o lugar</t>
        </is>
      </c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</row>
    <row r="361" ht="6" customHeight="1"/>
    <row r="362">
      <c r="A362" s="35" t="inlineStr">
        <is>
          <t>COBRANZA ADELANTADA F.</t>
        </is>
      </c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</row>
    <row r="363" ht="20" customHeight="1">
      <c r="A363" s="8" t="inlineStr">
        <is>
          <t>Total</t>
        </is>
      </c>
      <c r="B363" s="11" t="n"/>
    </row>
    <row r="364" ht="18" customHeight="1">
      <c r="A364" s="12" t="inlineStr">
        <is>
          <t>Top 5</t>
        </is>
      </c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 ht="18" customHeight="1">
      <c r="A365" s="14" t="inlineStr">
        <is>
          <t>1er lugar</t>
        </is>
      </c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</row>
    <row r="366" ht="18" customHeight="1">
      <c r="A366" s="14" t="inlineStr">
        <is>
          <t>2o lugar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</row>
    <row r="367" ht="18" customHeight="1">
      <c r="A367" s="14" t="inlineStr">
        <is>
          <t>3er lugar</t>
        </is>
      </c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</row>
    <row r="368" ht="18" customHeight="1">
      <c r="A368" s="14" t="inlineStr">
        <is>
          <t>4o lugar</t>
        </is>
      </c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</row>
    <row r="369" ht="18" customHeight="1">
      <c r="A369" s="14" t="inlineStr">
        <is>
          <t>5o lugar</t>
        </is>
      </c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</row>
    <row r="370" ht="6" customHeight="1"/>
    <row r="371">
      <c r="A371" s="82" t="inlineStr">
        <is>
          <t>PROYECCIÓN MAYO → MAYO</t>
        </is>
      </c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</row>
    <row r="372">
      <c r="A372" s="19" t="inlineStr">
        <is>
          <t>Proyección MAYO</t>
        </is>
      </c>
      <c r="B372" s="20" t="n"/>
    </row>
    <row r="374" ht="14" customHeight="1"/>
    <row r="375" ht="22" customHeight="1">
      <c r="A375" s="4" t="inlineStr">
        <is>
          <t>JUNIO 2026</t>
        </is>
      </c>
    </row>
    <row r="376" ht="28" customHeight="1">
      <c r="A376" s="5" t="inlineStr">
        <is>
          <t>CONCEPTO</t>
        </is>
      </c>
      <c r="B376" s="5" t="inlineStr">
        <is>
          <t>TOTAL ($)</t>
        </is>
      </c>
      <c r="C376" s="5" t="inlineStr">
        <is>
          <t>TOP 1</t>
        </is>
      </c>
      <c r="D376" s="5" t="inlineStr">
        <is>
          <t>TOP 2</t>
        </is>
      </c>
      <c r="E376" s="5" t="inlineStr">
        <is>
          <t>TOP 3</t>
        </is>
      </c>
      <c r="F376" s="5" t="inlineStr">
        <is>
          <t>TOP 4</t>
        </is>
      </c>
      <c r="G376" s="5" t="inlineStr">
        <is>
          <t>TOP 5</t>
        </is>
      </c>
      <c r="H376" s="5" t="inlineStr">
        <is>
          <t>% TOP 1</t>
        </is>
      </c>
      <c r="I376" s="5" t="inlineStr">
        <is>
          <t>% TOP 2</t>
        </is>
      </c>
      <c r="J376" s="5" t="inlineStr">
        <is>
          <t>% TOP 3</t>
        </is>
      </c>
      <c r="K376" s="5" t="inlineStr">
        <is>
          <t>% TOP 4</t>
        </is>
      </c>
      <c r="L376" s="5" t="inlineStr">
        <is>
          <t>% TOP 5</t>
        </is>
      </c>
      <c r="M376" s="5" t="inlineStr">
        <is>
          <t>% ACUM.</t>
        </is>
      </c>
    </row>
    <row r="377">
      <c r="A377" s="35" t="inlineStr">
        <is>
          <t>DATOS GENERALES</t>
        </is>
      </c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</row>
    <row r="378">
      <c r="A378" s="8" t="inlineStr">
        <is>
          <t>Mes</t>
        </is>
      </c>
      <c r="B378" s="9" t="inlineStr">
        <is>
          <t>JUNIO</t>
        </is>
      </c>
      <c r="E378" s="8" t="inlineStr">
        <is>
          <t>Año</t>
        </is>
      </c>
      <c r="F378" s="9" t="inlineStr">
        <is>
          <t>2026</t>
        </is>
      </c>
    </row>
    <row r="379">
      <c r="A379" s="8" t="inlineStr">
        <is>
          <t>Fecha de corte</t>
        </is>
      </c>
      <c r="B379" s="10" t="n"/>
      <c r="E379" s="8" t="inlineStr">
        <is>
          <t>Elaboró</t>
        </is>
      </c>
      <c r="F379" s="10" t="n"/>
    </row>
    <row r="380">
      <c r="A380" s="8" t="inlineStr">
        <is>
          <t>Reportado por</t>
        </is>
      </c>
      <c r="B380" s="10" t="n"/>
      <c r="E380" s="8" t="inlineStr">
        <is>
          <t>Cargo</t>
        </is>
      </c>
      <c r="F380" s="10" t="n"/>
    </row>
    <row r="381" ht="6" customHeight="1"/>
    <row r="382">
      <c r="A382" s="35" t="inlineStr">
        <is>
          <t>COBRANZA CORRIENTE</t>
        </is>
      </c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</row>
    <row r="383" ht="20" customHeight="1">
      <c r="A383" s="8" t="inlineStr">
        <is>
          <t>Total</t>
        </is>
      </c>
      <c r="B383" s="11" t="n"/>
    </row>
    <row r="384" ht="18" customHeight="1">
      <c r="A384" s="12" t="inlineStr">
        <is>
          <t>Top 5</t>
        </is>
      </c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 ht="18" customHeight="1">
      <c r="A385" s="14" t="inlineStr">
        <is>
          <t>1er lugar</t>
        </is>
      </c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</row>
    <row r="386" ht="18" customHeight="1">
      <c r="A386" s="14" t="inlineStr">
        <is>
          <t>2o lugar</t>
        </is>
      </c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</row>
    <row r="387" ht="18" customHeight="1">
      <c r="A387" s="14" t="inlineStr">
        <is>
          <t>3er lugar</t>
        </is>
      </c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</row>
    <row r="388" ht="18" customHeight="1">
      <c r="A388" s="14" t="inlineStr">
        <is>
          <t>4o lugar</t>
        </is>
      </c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</row>
    <row r="389" ht="18" customHeight="1">
      <c r="A389" s="14" t="inlineStr">
        <is>
          <t>5o lugar</t>
        </is>
      </c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</row>
    <row r="390" ht="6" customHeight="1"/>
    <row r="391">
      <c r="A391" s="35" t="inlineStr">
        <is>
          <t>CANCELACIONES</t>
        </is>
      </c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</row>
    <row r="392" ht="20" customHeight="1">
      <c r="A392" s="16" t="inlineStr">
        <is>
          <t>Total</t>
        </is>
      </c>
      <c r="B392" s="17" t="n"/>
    </row>
    <row r="393" ht="18" customHeight="1">
      <c r="A393" s="12" t="inlineStr">
        <is>
          <t>Top 5</t>
        </is>
      </c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</row>
    <row r="394" ht="18" customHeight="1">
      <c r="A394" s="14" t="inlineStr">
        <is>
          <t>1er lugar</t>
        </is>
      </c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</row>
    <row r="395" ht="18" customHeight="1">
      <c r="A395" s="14" t="inlineStr">
        <is>
          <t>2o lugar</t>
        </is>
      </c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</row>
    <row r="396" ht="18" customHeight="1">
      <c r="A396" s="14" t="inlineStr">
        <is>
          <t>3er lugar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</row>
    <row r="397" ht="18" customHeight="1">
      <c r="A397" s="14" t="inlineStr">
        <is>
          <t>4o lugar</t>
        </is>
      </c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</row>
    <row r="398" ht="18" customHeight="1">
      <c r="A398" s="14" t="inlineStr">
        <is>
          <t>5o lugar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</row>
    <row r="399" ht="6" customHeight="1"/>
    <row r="400">
      <c r="A400" s="35" t="inlineStr">
        <is>
          <t>COBRANZA VENCIDA</t>
        </is>
      </c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</row>
    <row r="401" ht="20" customHeight="1">
      <c r="A401" s="8" t="inlineStr">
        <is>
          <t>Total</t>
        </is>
      </c>
      <c r="B401" s="11" t="n"/>
    </row>
    <row r="402" ht="18" customHeight="1">
      <c r="A402" s="12" t="inlineStr">
        <is>
          <t>Top 5</t>
        </is>
      </c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 ht="18" customHeight="1">
      <c r="A403" s="14" t="inlineStr">
        <is>
          <t>1er lugar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</row>
    <row r="404" ht="18" customHeight="1">
      <c r="A404" s="14" t="inlineStr">
        <is>
          <t>2o lugar</t>
        </is>
      </c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</row>
    <row r="405" ht="18" customHeight="1">
      <c r="A405" s="14" t="inlineStr">
        <is>
          <t>3er lugar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</row>
    <row r="406" ht="18" customHeight="1">
      <c r="A406" s="14" t="inlineStr">
        <is>
          <t>4o lugar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</row>
    <row r="407" ht="18" customHeight="1">
      <c r="A407" s="14" t="inlineStr">
        <is>
          <t>5o lugar</t>
        </is>
      </c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</row>
    <row r="408" ht="6" customHeight="1"/>
    <row r="409">
      <c r="A409" s="35" t="inlineStr">
        <is>
          <t>COBRANZA EFECTIVA</t>
        </is>
      </c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</row>
    <row r="410" ht="20" customHeight="1">
      <c r="A410" s="16" t="inlineStr">
        <is>
          <t>Total</t>
        </is>
      </c>
      <c r="B410" s="17" t="n"/>
    </row>
    <row r="411" ht="18" customHeight="1">
      <c r="A411" s="12" t="inlineStr">
        <is>
          <t>Top 5</t>
        </is>
      </c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</row>
    <row r="412" ht="18" customHeight="1">
      <c r="A412" s="14" t="inlineStr">
        <is>
          <t>1er lugar</t>
        </is>
      </c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</row>
    <row r="413" ht="18" customHeight="1">
      <c r="A413" s="14" t="inlineStr">
        <is>
          <t>2o lugar</t>
        </is>
      </c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</row>
    <row r="414" ht="18" customHeight="1">
      <c r="A414" s="14" t="inlineStr">
        <is>
          <t>3er lugar</t>
        </is>
      </c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</row>
    <row r="415" ht="18" customHeight="1">
      <c r="A415" s="14" t="inlineStr">
        <is>
          <t>4o lugar</t>
        </is>
      </c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</row>
    <row r="416" ht="18" customHeight="1">
      <c r="A416" s="14" t="inlineStr">
        <is>
          <t>5o lugar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</row>
    <row r="417" ht="6" customHeight="1"/>
    <row r="418">
      <c r="A418" s="35" t="inlineStr">
        <is>
          <t>COBRANZA RECUPERADA</t>
        </is>
      </c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</row>
    <row r="419" ht="20" customHeight="1">
      <c r="A419" s="8" t="inlineStr">
        <is>
          <t>Total</t>
        </is>
      </c>
      <c r="B419" s="11" t="n"/>
    </row>
    <row r="420" ht="18" customHeight="1">
      <c r="A420" s="12" t="inlineStr">
        <is>
          <t>Top 5</t>
        </is>
      </c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 ht="18" customHeight="1">
      <c r="A421" s="14" t="inlineStr">
        <is>
          <t>1er lugar</t>
        </is>
      </c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</row>
    <row r="422" ht="18" customHeight="1">
      <c r="A422" s="14" t="inlineStr">
        <is>
          <t>2o lugar</t>
        </is>
      </c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</row>
    <row r="423" ht="18" customHeight="1">
      <c r="A423" s="14" t="inlineStr">
        <is>
          <t>3er lugar</t>
        </is>
      </c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</row>
    <row r="424" ht="18" customHeight="1">
      <c r="A424" s="14" t="inlineStr">
        <is>
          <t>4o lugar</t>
        </is>
      </c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</row>
    <row r="425" ht="18" customHeight="1">
      <c r="A425" s="14" t="inlineStr">
        <is>
          <t>5o lugar</t>
        </is>
      </c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</row>
    <row r="426" ht="6" customHeight="1"/>
    <row r="427">
      <c r="A427" s="35" t="inlineStr">
        <is>
          <t>COBRANZA TOTAL GENERAL</t>
        </is>
      </c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</row>
    <row r="428" ht="20" customHeight="1">
      <c r="A428" s="16" t="inlineStr">
        <is>
          <t>Total</t>
        </is>
      </c>
      <c r="B428" s="17" t="n"/>
    </row>
    <row r="429" ht="18" customHeight="1">
      <c r="A429" s="12" t="inlineStr">
        <is>
          <t>Top 5</t>
        </is>
      </c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</row>
    <row r="430" ht="18" customHeight="1">
      <c r="A430" s="14" t="inlineStr">
        <is>
          <t>1er lugar</t>
        </is>
      </c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</row>
    <row r="431" ht="18" customHeight="1">
      <c r="A431" s="14" t="inlineStr">
        <is>
          <t>2o lugar</t>
        </is>
      </c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</row>
    <row r="432" ht="18" customHeight="1">
      <c r="A432" s="14" t="inlineStr">
        <is>
          <t>3er lugar</t>
        </is>
      </c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</row>
    <row r="433" ht="18" customHeight="1">
      <c r="A433" s="14" t="inlineStr">
        <is>
          <t>4o lugar</t>
        </is>
      </c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</row>
    <row r="434" ht="18" customHeight="1">
      <c r="A434" s="14" t="inlineStr">
        <is>
          <t>5o lugar</t>
        </is>
      </c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</row>
    <row r="435" ht="6" customHeight="1"/>
    <row r="436">
      <c r="A436" s="35" t="inlineStr">
        <is>
          <t>COBRANZA ADELANTADA F.</t>
        </is>
      </c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</row>
    <row r="437" ht="20" customHeight="1">
      <c r="A437" s="8" t="inlineStr">
        <is>
          <t>Total</t>
        </is>
      </c>
      <c r="B437" s="11" t="n"/>
    </row>
    <row r="438" ht="18" customHeight="1">
      <c r="A438" s="12" t="inlineStr">
        <is>
          <t>Top 5</t>
        </is>
      </c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 ht="18" customHeight="1">
      <c r="A439" s="14" t="inlineStr">
        <is>
          <t>1er lugar</t>
        </is>
      </c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</row>
    <row r="440" ht="18" customHeight="1">
      <c r="A440" s="14" t="inlineStr">
        <is>
          <t>2o lugar</t>
        </is>
      </c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</row>
    <row r="441" ht="18" customHeight="1">
      <c r="A441" s="14" t="inlineStr">
        <is>
          <t>3er lugar</t>
        </is>
      </c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</row>
    <row r="442" ht="18" customHeight="1">
      <c r="A442" s="14" t="inlineStr">
        <is>
          <t>4o lugar</t>
        </is>
      </c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</row>
    <row r="443" ht="18" customHeight="1">
      <c r="A443" s="14" t="inlineStr">
        <is>
          <t>5o lugar</t>
        </is>
      </c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</row>
    <row r="444" ht="6" customHeight="1"/>
    <row r="445">
      <c r="A445" s="82" t="inlineStr">
        <is>
          <t>PROYECCIÓN JUNIO → JUNIO</t>
        </is>
      </c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</row>
    <row r="446">
      <c r="A446" s="19" t="inlineStr">
        <is>
          <t>Proyección JUNIO</t>
        </is>
      </c>
      <c r="B446" s="20" t="n"/>
    </row>
    <row r="448" ht="14" customHeight="1"/>
    <row r="449" ht="22" customHeight="1">
      <c r="A449" s="4" t="inlineStr">
        <is>
          <t>JULIO 2026</t>
        </is>
      </c>
    </row>
    <row r="450" ht="28" customHeight="1">
      <c r="A450" s="5" t="inlineStr">
        <is>
          <t>CONCEPTO</t>
        </is>
      </c>
      <c r="B450" s="5" t="inlineStr">
        <is>
          <t>TOTAL ($)</t>
        </is>
      </c>
      <c r="C450" s="5" t="inlineStr">
        <is>
          <t>TOP 1</t>
        </is>
      </c>
      <c r="D450" s="5" t="inlineStr">
        <is>
          <t>TOP 2</t>
        </is>
      </c>
      <c r="E450" s="5" t="inlineStr">
        <is>
          <t>TOP 3</t>
        </is>
      </c>
      <c r="F450" s="5" t="inlineStr">
        <is>
          <t>TOP 4</t>
        </is>
      </c>
      <c r="G450" s="5" t="inlineStr">
        <is>
          <t>TOP 5</t>
        </is>
      </c>
      <c r="H450" s="5" t="inlineStr">
        <is>
          <t>% TOP 1</t>
        </is>
      </c>
      <c r="I450" s="5" t="inlineStr">
        <is>
          <t>% TOP 2</t>
        </is>
      </c>
      <c r="J450" s="5" t="inlineStr">
        <is>
          <t>% TOP 3</t>
        </is>
      </c>
      <c r="K450" s="5" t="inlineStr">
        <is>
          <t>% TOP 4</t>
        </is>
      </c>
      <c r="L450" s="5" t="inlineStr">
        <is>
          <t>% TOP 5</t>
        </is>
      </c>
      <c r="M450" s="5" t="inlineStr">
        <is>
          <t>% ACUM.</t>
        </is>
      </c>
    </row>
    <row r="451">
      <c r="A451" s="35" t="inlineStr">
        <is>
          <t>DATOS GENERALES</t>
        </is>
      </c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</row>
    <row r="452">
      <c r="A452" s="8" t="inlineStr">
        <is>
          <t>Mes</t>
        </is>
      </c>
      <c r="B452" s="9" t="inlineStr">
        <is>
          <t>JULIO</t>
        </is>
      </c>
      <c r="E452" s="8" t="inlineStr">
        <is>
          <t>Año</t>
        </is>
      </c>
      <c r="F452" s="9" t="inlineStr">
        <is>
          <t>2026</t>
        </is>
      </c>
    </row>
    <row r="453">
      <c r="A453" s="8" t="inlineStr">
        <is>
          <t>Fecha de corte</t>
        </is>
      </c>
      <c r="B453" s="10" t="n"/>
      <c r="E453" s="8" t="inlineStr">
        <is>
          <t>Elaboró</t>
        </is>
      </c>
      <c r="F453" s="10" t="n"/>
    </row>
    <row r="454">
      <c r="A454" s="8" t="inlineStr">
        <is>
          <t>Reportado por</t>
        </is>
      </c>
      <c r="B454" s="10" t="n"/>
      <c r="E454" s="8" t="inlineStr">
        <is>
          <t>Cargo</t>
        </is>
      </c>
      <c r="F454" s="10" t="n"/>
    </row>
    <row r="455" ht="6" customHeight="1"/>
    <row r="456">
      <c r="A456" s="35" t="inlineStr">
        <is>
          <t>COBRANZA CORRIENTE</t>
        </is>
      </c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</row>
    <row r="457" ht="20" customHeight="1">
      <c r="A457" s="8" t="inlineStr">
        <is>
          <t>Total</t>
        </is>
      </c>
      <c r="B457" s="11" t="n"/>
    </row>
    <row r="458" ht="18" customHeight="1">
      <c r="A458" s="12" t="inlineStr">
        <is>
          <t>Top 5</t>
        </is>
      </c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 ht="18" customHeight="1">
      <c r="A459" s="14" t="inlineStr">
        <is>
          <t>1er lugar</t>
        </is>
      </c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</row>
    <row r="460" ht="18" customHeight="1">
      <c r="A460" s="14" t="inlineStr">
        <is>
          <t>2o lugar</t>
        </is>
      </c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</row>
    <row r="461" ht="18" customHeight="1">
      <c r="A461" s="14" t="inlineStr">
        <is>
          <t>3er lugar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</row>
    <row r="462" ht="18" customHeight="1">
      <c r="A462" s="14" t="inlineStr">
        <is>
          <t>4o lugar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</row>
    <row r="463" ht="18" customHeight="1">
      <c r="A463" s="14" t="inlineStr">
        <is>
          <t>5o lugar</t>
        </is>
      </c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</row>
    <row r="464" ht="6" customHeight="1"/>
    <row r="465">
      <c r="A465" s="35" t="inlineStr">
        <is>
          <t>CANCELACIONES</t>
        </is>
      </c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</row>
    <row r="466" ht="20" customHeight="1">
      <c r="A466" s="16" t="inlineStr">
        <is>
          <t>Total</t>
        </is>
      </c>
      <c r="B466" s="17" t="n"/>
    </row>
    <row r="467" ht="18" customHeight="1">
      <c r="A467" s="12" t="inlineStr">
        <is>
          <t>Top 5</t>
        </is>
      </c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</row>
    <row r="468" ht="18" customHeight="1">
      <c r="A468" s="14" t="inlineStr">
        <is>
          <t>1er lugar</t>
        </is>
      </c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</row>
    <row r="469" ht="18" customHeight="1">
      <c r="A469" s="14" t="inlineStr">
        <is>
          <t>2o lugar</t>
        </is>
      </c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</row>
    <row r="470" ht="18" customHeight="1">
      <c r="A470" s="14" t="inlineStr">
        <is>
          <t>3er lugar</t>
        </is>
      </c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</row>
    <row r="471" ht="18" customHeight="1">
      <c r="A471" s="14" t="inlineStr">
        <is>
          <t>4o lugar</t>
        </is>
      </c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</row>
    <row r="472" ht="18" customHeight="1">
      <c r="A472" s="14" t="inlineStr">
        <is>
          <t>5o lugar</t>
        </is>
      </c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</row>
    <row r="473" ht="6" customHeight="1"/>
    <row r="474">
      <c r="A474" s="35" t="inlineStr">
        <is>
          <t>COBRANZA VENCIDA</t>
        </is>
      </c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</row>
    <row r="475" ht="20" customHeight="1">
      <c r="A475" s="8" t="inlineStr">
        <is>
          <t>Total</t>
        </is>
      </c>
      <c r="B475" s="11" t="n"/>
    </row>
    <row r="476" ht="18" customHeight="1">
      <c r="A476" s="12" t="inlineStr">
        <is>
          <t>Top 5</t>
        </is>
      </c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 ht="18" customHeight="1">
      <c r="A477" s="14" t="inlineStr">
        <is>
          <t>1er lugar</t>
        </is>
      </c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</row>
    <row r="478" ht="18" customHeight="1">
      <c r="A478" s="14" t="inlineStr">
        <is>
          <t>2o lugar</t>
        </is>
      </c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</row>
    <row r="479" ht="18" customHeight="1">
      <c r="A479" s="14" t="inlineStr">
        <is>
          <t>3er lugar</t>
        </is>
      </c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</row>
    <row r="480" ht="18" customHeight="1">
      <c r="A480" s="14" t="inlineStr">
        <is>
          <t>4o lugar</t>
        </is>
      </c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</row>
    <row r="481" ht="18" customHeight="1">
      <c r="A481" s="14" t="inlineStr">
        <is>
          <t>5o lugar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</row>
    <row r="482" ht="6" customHeight="1"/>
    <row r="483">
      <c r="A483" s="35" t="inlineStr">
        <is>
          <t>COBRANZA EFECTIVA</t>
        </is>
      </c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</row>
    <row r="484" ht="20" customHeight="1">
      <c r="A484" s="16" t="inlineStr">
        <is>
          <t>Total</t>
        </is>
      </c>
      <c r="B484" s="17" t="n"/>
    </row>
    <row r="485" ht="18" customHeight="1">
      <c r="A485" s="12" t="inlineStr">
        <is>
          <t>Top 5</t>
        </is>
      </c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</row>
    <row r="486" ht="18" customHeight="1">
      <c r="A486" s="14" t="inlineStr">
        <is>
          <t>1er lugar</t>
        </is>
      </c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</row>
    <row r="487" ht="18" customHeight="1">
      <c r="A487" s="14" t="inlineStr">
        <is>
          <t>2o lugar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</row>
    <row r="488" ht="18" customHeight="1">
      <c r="A488" s="14" t="inlineStr">
        <is>
          <t>3er lugar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</row>
    <row r="489" ht="18" customHeight="1">
      <c r="A489" s="14" t="inlineStr">
        <is>
          <t>4o lugar</t>
        </is>
      </c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</row>
    <row r="490" ht="18" customHeight="1">
      <c r="A490" s="14" t="inlineStr">
        <is>
          <t>5o lugar</t>
        </is>
      </c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</row>
    <row r="491" ht="6" customHeight="1"/>
    <row r="492">
      <c r="A492" s="35" t="inlineStr">
        <is>
          <t>COBRANZA RECUPERADA</t>
        </is>
      </c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</row>
    <row r="493" ht="20" customHeight="1">
      <c r="A493" s="8" t="inlineStr">
        <is>
          <t>Total</t>
        </is>
      </c>
      <c r="B493" s="11" t="n"/>
    </row>
    <row r="494" ht="18" customHeight="1">
      <c r="A494" s="12" t="inlineStr">
        <is>
          <t>Top 5</t>
        </is>
      </c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 ht="18" customHeight="1">
      <c r="A495" s="14" t="inlineStr">
        <is>
          <t>1er lugar</t>
        </is>
      </c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</row>
    <row r="496" ht="18" customHeight="1">
      <c r="A496" s="14" t="inlineStr">
        <is>
          <t>2o lugar</t>
        </is>
      </c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</row>
    <row r="497" ht="18" customHeight="1">
      <c r="A497" s="14" t="inlineStr">
        <is>
          <t>3er lugar</t>
        </is>
      </c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</row>
    <row r="498" ht="18" customHeight="1">
      <c r="A498" s="14" t="inlineStr">
        <is>
          <t>4o lugar</t>
        </is>
      </c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</row>
    <row r="499" ht="18" customHeight="1">
      <c r="A499" s="14" t="inlineStr">
        <is>
          <t>5o lugar</t>
        </is>
      </c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</row>
    <row r="500" ht="6" customHeight="1"/>
    <row r="501">
      <c r="A501" s="35" t="inlineStr">
        <is>
          <t>COBRANZA TOTAL GENERAL</t>
        </is>
      </c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</row>
    <row r="502" ht="20" customHeight="1">
      <c r="A502" s="16" t="inlineStr">
        <is>
          <t>Total</t>
        </is>
      </c>
      <c r="B502" s="17" t="n"/>
    </row>
    <row r="503" ht="18" customHeight="1">
      <c r="A503" s="12" t="inlineStr">
        <is>
          <t>Top 5</t>
        </is>
      </c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</row>
    <row r="504" ht="18" customHeight="1">
      <c r="A504" s="14" t="inlineStr">
        <is>
          <t>1er lugar</t>
        </is>
      </c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</row>
    <row r="505" ht="18" customHeight="1">
      <c r="A505" s="14" t="inlineStr">
        <is>
          <t>2o lugar</t>
        </is>
      </c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</row>
    <row r="506" ht="18" customHeight="1">
      <c r="A506" s="14" t="inlineStr">
        <is>
          <t>3er lugar</t>
        </is>
      </c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</row>
    <row r="507" ht="18" customHeight="1">
      <c r="A507" s="14" t="inlineStr">
        <is>
          <t>4o lugar</t>
        </is>
      </c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</row>
    <row r="508" ht="18" customHeight="1">
      <c r="A508" s="14" t="inlineStr">
        <is>
          <t>5o lugar</t>
        </is>
      </c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</row>
    <row r="509" ht="6" customHeight="1"/>
    <row r="510">
      <c r="A510" s="35" t="inlineStr">
        <is>
          <t>COBRANZA ADELANTADA F.</t>
        </is>
      </c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</row>
    <row r="511" ht="20" customHeight="1">
      <c r="A511" s="8" t="inlineStr">
        <is>
          <t>Total</t>
        </is>
      </c>
      <c r="B511" s="11" t="n"/>
    </row>
    <row r="512" ht="18" customHeight="1">
      <c r="A512" s="12" t="inlineStr">
        <is>
          <t>Top 5</t>
        </is>
      </c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</row>
    <row r="513" ht="18" customHeight="1">
      <c r="A513" s="14" t="inlineStr">
        <is>
          <t>1er lugar</t>
        </is>
      </c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</row>
    <row r="514" ht="18" customHeight="1">
      <c r="A514" s="14" t="inlineStr">
        <is>
          <t>2o lugar</t>
        </is>
      </c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</row>
    <row r="515" ht="18" customHeight="1">
      <c r="A515" s="14" t="inlineStr">
        <is>
          <t>3er lugar</t>
        </is>
      </c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</row>
    <row r="516" ht="18" customHeight="1">
      <c r="A516" s="14" t="inlineStr">
        <is>
          <t>4o lugar</t>
        </is>
      </c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</row>
    <row r="517" ht="18" customHeight="1">
      <c r="A517" s="14" t="inlineStr">
        <is>
          <t>5o lugar</t>
        </is>
      </c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</row>
    <row r="518" ht="6" customHeight="1"/>
    <row r="519">
      <c r="A519" s="82" t="inlineStr">
        <is>
          <t>PROYECCIÓN JULIO → JULIO</t>
        </is>
      </c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</row>
    <row r="520">
      <c r="A520" s="19" t="inlineStr">
        <is>
          <t>Proyección JULIO</t>
        </is>
      </c>
      <c r="B520" s="20" t="n"/>
    </row>
    <row r="522" ht="14" customHeight="1"/>
    <row r="523" ht="22" customHeight="1">
      <c r="A523" s="4" t="inlineStr">
        <is>
          <t>AGOSTO 2026</t>
        </is>
      </c>
    </row>
    <row r="524" ht="28" customHeight="1">
      <c r="A524" s="5" t="inlineStr">
        <is>
          <t>CONCEPTO</t>
        </is>
      </c>
      <c r="B524" s="5" t="inlineStr">
        <is>
          <t>TOTAL ($)</t>
        </is>
      </c>
      <c r="C524" s="5" t="inlineStr">
        <is>
          <t>TOP 1</t>
        </is>
      </c>
      <c r="D524" s="5" t="inlineStr">
        <is>
          <t>TOP 2</t>
        </is>
      </c>
      <c r="E524" s="5" t="inlineStr">
        <is>
          <t>TOP 3</t>
        </is>
      </c>
      <c r="F524" s="5" t="inlineStr">
        <is>
          <t>TOP 4</t>
        </is>
      </c>
      <c r="G524" s="5" t="inlineStr">
        <is>
          <t>TOP 5</t>
        </is>
      </c>
      <c r="H524" s="5" t="inlineStr">
        <is>
          <t>% TOP 1</t>
        </is>
      </c>
      <c r="I524" s="5" t="inlineStr">
        <is>
          <t>% TOP 2</t>
        </is>
      </c>
      <c r="J524" s="5" t="inlineStr">
        <is>
          <t>% TOP 3</t>
        </is>
      </c>
      <c r="K524" s="5" t="inlineStr">
        <is>
          <t>% TOP 4</t>
        </is>
      </c>
      <c r="L524" s="5" t="inlineStr">
        <is>
          <t>% TOP 5</t>
        </is>
      </c>
      <c r="M524" s="5" t="inlineStr">
        <is>
          <t>% ACUM.</t>
        </is>
      </c>
    </row>
    <row r="525">
      <c r="A525" s="35" t="inlineStr">
        <is>
          <t>DATOS GENERALES</t>
        </is>
      </c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</row>
    <row r="526">
      <c r="A526" s="8" t="inlineStr">
        <is>
          <t>Mes</t>
        </is>
      </c>
      <c r="B526" s="9" t="inlineStr">
        <is>
          <t>AGOSTO</t>
        </is>
      </c>
      <c r="E526" s="8" t="inlineStr">
        <is>
          <t>Año</t>
        </is>
      </c>
      <c r="F526" s="9" t="inlineStr">
        <is>
          <t>2026</t>
        </is>
      </c>
    </row>
    <row r="527">
      <c r="A527" s="8" t="inlineStr">
        <is>
          <t>Fecha de corte</t>
        </is>
      </c>
      <c r="B527" s="10" t="n"/>
      <c r="E527" s="8" t="inlineStr">
        <is>
          <t>Elaboró</t>
        </is>
      </c>
      <c r="F527" s="10" t="n"/>
    </row>
    <row r="528">
      <c r="A528" s="8" t="inlineStr">
        <is>
          <t>Reportado por</t>
        </is>
      </c>
      <c r="B528" s="10" t="n"/>
      <c r="E528" s="8" t="inlineStr">
        <is>
          <t>Cargo</t>
        </is>
      </c>
      <c r="F528" s="10" t="n"/>
    </row>
    <row r="529" ht="6" customHeight="1"/>
    <row r="530">
      <c r="A530" s="35" t="inlineStr">
        <is>
          <t>COBRANZA CORRIENTE</t>
        </is>
      </c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</row>
    <row r="531" ht="20" customHeight="1">
      <c r="A531" s="8" t="inlineStr">
        <is>
          <t>Total</t>
        </is>
      </c>
      <c r="B531" s="11" t="n"/>
    </row>
    <row r="532" ht="18" customHeight="1">
      <c r="A532" s="12" t="inlineStr">
        <is>
          <t>Top 5</t>
        </is>
      </c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</row>
    <row r="533" ht="18" customHeight="1">
      <c r="A533" s="14" t="inlineStr">
        <is>
          <t>1er lugar</t>
        </is>
      </c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</row>
    <row r="534" ht="18" customHeight="1">
      <c r="A534" s="14" t="inlineStr">
        <is>
          <t>2o lugar</t>
        </is>
      </c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</row>
    <row r="535" ht="18" customHeight="1">
      <c r="A535" s="14" t="inlineStr">
        <is>
          <t>3er lugar</t>
        </is>
      </c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</row>
    <row r="536" ht="18" customHeight="1">
      <c r="A536" s="14" t="inlineStr">
        <is>
          <t>4o lugar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</row>
    <row r="537" ht="18" customHeight="1">
      <c r="A537" s="14" t="inlineStr">
        <is>
          <t>5o lugar</t>
        </is>
      </c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</row>
    <row r="538" ht="6" customHeight="1"/>
    <row r="539">
      <c r="A539" s="35" t="inlineStr">
        <is>
          <t>CANCELACIONES</t>
        </is>
      </c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</row>
    <row r="540" ht="20" customHeight="1">
      <c r="A540" s="16" t="inlineStr">
        <is>
          <t>Total</t>
        </is>
      </c>
      <c r="B540" s="17" t="n"/>
    </row>
    <row r="541" ht="18" customHeight="1">
      <c r="A541" s="12" t="inlineStr">
        <is>
          <t>Top 5</t>
        </is>
      </c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</row>
    <row r="542" ht="18" customHeight="1">
      <c r="A542" s="14" t="inlineStr">
        <is>
          <t>1er lugar</t>
        </is>
      </c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</row>
    <row r="543" ht="18" customHeight="1">
      <c r="A543" s="14" t="inlineStr">
        <is>
          <t>2o lugar</t>
        </is>
      </c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</row>
    <row r="544" ht="18" customHeight="1">
      <c r="A544" s="14" t="inlineStr">
        <is>
          <t>3er lugar</t>
        </is>
      </c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</row>
    <row r="545" ht="18" customHeight="1">
      <c r="A545" s="14" t="inlineStr">
        <is>
          <t>4o lugar</t>
        </is>
      </c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</row>
    <row r="546" ht="18" customHeight="1">
      <c r="A546" s="14" t="inlineStr">
        <is>
          <t>5o lugar</t>
        </is>
      </c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</row>
    <row r="547" ht="6" customHeight="1"/>
    <row r="548">
      <c r="A548" s="35" t="inlineStr">
        <is>
          <t>COBRANZA VENCIDA</t>
        </is>
      </c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</row>
    <row r="549" ht="20" customHeight="1">
      <c r="A549" s="8" t="inlineStr">
        <is>
          <t>Total</t>
        </is>
      </c>
      <c r="B549" s="11" t="n"/>
    </row>
    <row r="550" ht="18" customHeight="1">
      <c r="A550" s="12" t="inlineStr">
        <is>
          <t>Top 5</t>
        </is>
      </c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</row>
    <row r="551" ht="18" customHeight="1">
      <c r="A551" s="14" t="inlineStr">
        <is>
          <t>1er lugar</t>
        </is>
      </c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</row>
    <row r="552" ht="18" customHeight="1">
      <c r="A552" s="14" t="inlineStr">
        <is>
          <t>2o lugar</t>
        </is>
      </c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</row>
    <row r="553" ht="18" customHeight="1">
      <c r="A553" s="14" t="inlineStr">
        <is>
          <t>3er lugar</t>
        </is>
      </c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</row>
    <row r="554" ht="18" customHeight="1">
      <c r="A554" s="14" t="inlineStr">
        <is>
          <t>4o lugar</t>
        </is>
      </c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</row>
    <row r="555" ht="18" customHeight="1">
      <c r="A555" s="14" t="inlineStr">
        <is>
          <t>5o lugar</t>
        </is>
      </c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</row>
    <row r="556" ht="6" customHeight="1"/>
    <row r="557">
      <c r="A557" s="35" t="inlineStr">
        <is>
          <t>COBRANZA EFECTIVA</t>
        </is>
      </c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</row>
    <row r="558" ht="20" customHeight="1">
      <c r="A558" s="16" t="inlineStr">
        <is>
          <t>Total</t>
        </is>
      </c>
      <c r="B558" s="17" t="n"/>
    </row>
    <row r="559" ht="18" customHeight="1">
      <c r="A559" s="12" t="inlineStr">
        <is>
          <t>Top 5</t>
        </is>
      </c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</row>
    <row r="560" ht="18" customHeight="1">
      <c r="A560" s="14" t="inlineStr">
        <is>
          <t>1er lugar</t>
        </is>
      </c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</row>
    <row r="561" ht="18" customHeight="1">
      <c r="A561" s="14" t="inlineStr">
        <is>
          <t>2o lugar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</row>
    <row r="562" ht="18" customHeight="1">
      <c r="A562" s="14" t="inlineStr">
        <is>
          <t>3er lugar</t>
        </is>
      </c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</row>
    <row r="563" ht="18" customHeight="1">
      <c r="A563" s="14" t="inlineStr">
        <is>
          <t>4o lugar</t>
        </is>
      </c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</row>
    <row r="564" ht="18" customHeight="1">
      <c r="A564" s="14" t="inlineStr">
        <is>
          <t>5o lugar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</row>
    <row r="565" ht="6" customHeight="1"/>
    <row r="566">
      <c r="A566" s="35" t="inlineStr">
        <is>
          <t>COBRANZA RECUPERADA</t>
        </is>
      </c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</row>
    <row r="567" ht="20" customHeight="1">
      <c r="A567" s="8" t="inlineStr">
        <is>
          <t>Total</t>
        </is>
      </c>
      <c r="B567" s="11" t="n"/>
    </row>
    <row r="568" ht="18" customHeight="1">
      <c r="A568" s="12" t="inlineStr">
        <is>
          <t>Top 5</t>
        </is>
      </c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</row>
    <row r="569" ht="18" customHeight="1">
      <c r="A569" s="14" t="inlineStr">
        <is>
          <t>1er lugar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</row>
    <row r="570" ht="18" customHeight="1">
      <c r="A570" s="14" t="inlineStr">
        <is>
          <t>2o lugar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</row>
    <row r="571" ht="18" customHeight="1">
      <c r="A571" s="14" t="inlineStr">
        <is>
          <t>3er lugar</t>
        </is>
      </c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</row>
    <row r="572" ht="18" customHeight="1">
      <c r="A572" s="14" t="inlineStr">
        <is>
          <t>4o lugar</t>
        </is>
      </c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</row>
    <row r="573" ht="18" customHeight="1">
      <c r="A573" s="14" t="inlineStr">
        <is>
          <t>5o lugar</t>
        </is>
      </c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</row>
    <row r="574" ht="6" customHeight="1"/>
    <row r="575">
      <c r="A575" s="35" t="inlineStr">
        <is>
          <t>COBRANZA TOTAL GENERAL</t>
        </is>
      </c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</row>
    <row r="576" ht="20" customHeight="1">
      <c r="A576" s="16" t="inlineStr">
        <is>
          <t>Total</t>
        </is>
      </c>
      <c r="B576" s="17" t="n"/>
    </row>
    <row r="577" ht="18" customHeight="1">
      <c r="A577" s="12" t="inlineStr">
        <is>
          <t>Top 5</t>
        </is>
      </c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</row>
    <row r="578" ht="18" customHeight="1">
      <c r="A578" s="14" t="inlineStr">
        <is>
          <t>1er lugar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</row>
    <row r="579" ht="18" customHeight="1">
      <c r="A579" s="14" t="inlineStr">
        <is>
          <t>2o lugar</t>
        </is>
      </c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</row>
    <row r="580" ht="18" customHeight="1">
      <c r="A580" s="14" t="inlineStr">
        <is>
          <t>3er lugar</t>
        </is>
      </c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</row>
    <row r="581" ht="18" customHeight="1">
      <c r="A581" s="14" t="inlineStr">
        <is>
          <t>4o lugar</t>
        </is>
      </c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</row>
    <row r="582" ht="18" customHeight="1">
      <c r="A582" s="14" t="inlineStr">
        <is>
          <t>5o lugar</t>
        </is>
      </c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</row>
    <row r="583" ht="6" customHeight="1"/>
    <row r="584">
      <c r="A584" s="35" t="inlineStr">
        <is>
          <t>COBRANZA ADELANTADA F.</t>
        </is>
      </c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</row>
    <row r="585" ht="20" customHeight="1">
      <c r="A585" s="8" t="inlineStr">
        <is>
          <t>Total</t>
        </is>
      </c>
      <c r="B585" s="11" t="n"/>
    </row>
    <row r="586" ht="18" customHeight="1">
      <c r="A586" s="12" t="inlineStr">
        <is>
          <t>Top 5</t>
        </is>
      </c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</row>
    <row r="587" ht="18" customHeight="1">
      <c r="A587" s="14" t="inlineStr">
        <is>
          <t>1er lugar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</row>
    <row r="588" ht="18" customHeight="1">
      <c r="A588" s="14" t="inlineStr">
        <is>
          <t>2o lugar</t>
        </is>
      </c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</row>
    <row r="589" ht="18" customHeight="1">
      <c r="A589" s="14" t="inlineStr">
        <is>
          <t>3er lugar</t>
        </is>
      </c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</row>
    <row r="590" ht="18" customHeight="1">
      <c r="A590" s="14" t="inlineStr">
        <is>
          <t>4o lugar</t>
        </is>
      </c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</row>
    <row r="591" ht="18" customHeight="1">
      <c r="A591" s="14" t="inlineStr">
        <is>
          <t>5o lugar</t>
        </is>
      </c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</row>
    <row r="592" ht="6" customHeight="1"/>
    <row r="593">
      <c r="A593" s="82" t="inlineStr">
        <is>
          <t>PROYECCIÓN AGOSTO → AGOSTO</t>
        </is>
      </c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</row>
    <row r="594">
      <c r="A594" s="19" t="inlineStr">
        <is>
          <t>Proyección AGOSTO</t>
        </is>
      </c>
      <c r="B594" s="20" t="n"/>
    </row>
    <row r="596" ht="14" customHeight="1"/>
    <row r="597" ht="22" customHeight="1">
      <c r="A597" s="4" t="inlineStr">
        <is>
          <t>SEPTIEMBRE 2026</t>
        </is>
      </c>
    </row>
    <row r="598" ht="28" customHeight="1">
      <c r="A598" s="5" t="inlineStr">
        <is>
          <t>CONCEPTO</t>
        </is>
      </c>
      <c r="B598" s="5" t="inlineStr">
        <is>
          <t>TOTAL ($)</t>
        </is>
      </c>
      <c r="C598" s="5" t="inlineStr">
        <is>
          <t>TOP 1</t>
        </is>
      </c>
      <c r="D598" s="5" t="inlineStr">
        <is>
          <t>TOP 2</t>
        </is>
      </c>
      <c r="E598" s="5" t="inlineStr">
        <is>
          <t>TOP 3</t>
        </is>
      </c>
      <c r="F598" s="5" t="inlineStr">
        <is>
          <t>TOP 4</t>
        </is>
      </c>
      <c r="G598" s="5" t="inlineStr">
        <is>
          <t>TOP 5</t>
        </is>
      </c>
      <c r="H598" s="5" t="inlineStr">
        <is>
          <t>% TOP 1</t>
        </is>
      </c>
      <c r="I598" s="5" t="inlineStr">
        <is>
          <t>% TOP 2</t>
        </is>
      </c>
      <c r="J598" s="5" t="inlineStr">
        <is>
          <t>% TOP 3</t>
        </is>
      </c>
      <c r="K598" s="5" t="inlineStr">
        <is>
          <t>% TOP 4</t>
        </is>
      </c>
      <c r="L598" s="5" t="inlineStr">
        <is>
          <t>% TOP 5</t>
        </is>
      </c>
      <c r="M598" s="5" t="inlineStr">
        <is>
          <t>% ACUM.</t>
        </is>
      </c>
    </row>
    <row r="599">
      <c r="A599" s="35" t="inlineStr">
        <is>
          <t>DATOS GENERALES</t>
        </is>
      </c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</row>
    <row r="600">
      <c r="A600" s="8" t="inlineStr">
        <is>
          <t>Mes</t>
        </is>
      </c>
      <c r="B600" s="9" t="inlineStr">
        <is>
          <t>SEPTIEMBRE</t>
        </is>
      </c>
      <c r="E600" s="8" t="inlineStr">
        <is>
          <t>Año</t>
        </is>
      </c>
      <c r="F600" s="9" t="inlineStr">
        <is>
          <t>2026</t>
        </is>
      </c>
    </row>
    <row r="601">
      <c r="A601" s="8" t="inlineStr">
        <is>
          <t>Fecha de corte</t>
        </is>
      </c>
      <c r="B601" s="10" t="n"/>
      <c r="E601" s="8" t="inlineStr">
        <is>
          <t>Elaboró</t>
        </is>
      </c>
      <c r="F601" s="10" t="n"/>
    </row>
    <row r="602">
      <c r="A602" s="8" t="inlineStr">
        <is>
          <t>Reportado por</t>
        </is>
      </c>
      <c r="B602" s="10" t="n"/>
      <c r="E602" s="8" t="inlineStr">
        <is>
          <t>Cargo</t>
        </is>
      </c>
      <c r="F602" s="10" t="n"/>
    </row>
    <row r="603" ht="6" customHeight="1"/>
    <row r="604">
      <c r="A604" s="35" t="inlineStr">
        <is>
          <t>COBRANZA CORRIENTE</t>
        </is>
      </c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</row>
    <row r="605" ht="20" customHeight="1">
      <c r="A605" s="8" t="inlineStr">
        <is>
          <t>Total</t>
        </is>
      </c>
      <c r="B605" s="11" t="n"/>
    </row>
    <row r="606" ht="18" customHeight="1">
      <c r="A606" s="12" t="inlineStr">
        <is>
          <t>Top 5</t>
        </is>
      </c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</row>
    <row r="607" ht="18" customHeight="1">
      <c r="A607" s="14" t="inlineStr">
        <is>
          <t>1er lugar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</row>
    <row r="608" ht="18" customHeight="1">
      <c r="A608" s="14" t="inlineStr">
        <is>
          <t>2o lugar</t>
        </is>
      </c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</row>
    <row r="609" ht="18" customHeight="1">
      <c r="A609" s="14" t="inlineStr">
        <is>
          <t>3er lugar</t>
        </is>
      </c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</row>
    <row r="610" ht="18" customHeight="1">
      <c r="A610" s="14" t="inlineStr">
        <is>
          <t>4o lugar</t>
        </is>
      </c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</row>
    <row r="611" ht="18" customHeight="1">
      <c r="A611" s="14" t="inlineStr">
        <is>
          <t>5o lugar</t>
        </is>
      </c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</row>
    <row r="612" ht="6" customHeight="1"/>
    <row r="613">
      <c r="A613" s="35" t="inlineStr">
        <is>
          <t>CANCELACIONES</t>
        </is>
      </c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</row>
    <row r="614" ht="20" customHeight="1">
      <c r="A614" s="16" t="inlineStr">
        <is>
          <t>Total</t>
        </is>
      </c>
      <c r="B614" s="17" t="n"/>
    </row>
    <row r="615" ht="18" customHeight="1">
      <c r="A615" s="12" t="inlineStr">
        <is>
          <t>Top 5</t>
        </is>
      </c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</row>
    <row r="616" ht="18" customHeight="1">
      <c r="A616" s="14" t="inlineStr">
        <is>
          <t>1er lugar</t>
        </is>
      </c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</row>
    <row r="617" ht="18" customHeight="1">
      <c r="A617" s="14" t="inlineStr">
        <is>
          <t>2o lugar</t>
        </is>
      </c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</row>
    <row r="618" ht="18" customHeight="1">
      <c r="A618" s="14" t="inlineStr">
        <is>
          <t>3er lugar</t>
        </is>
      </c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</row>
    <row r="619" ht="18" customHeight="1">
      <c r="A619" s="14" t="inlineStr">
        <is>
          <t>4o lugar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</row>
    <row r="620" ht="18" customHeight="1">
      <c r="A620" s="14" t="inlineStr">
        <is>
          <t>5o lugar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</row>
    <row r="621" ht="6" customHeight="1"/>
    <row r="622">
      <c r="A622" s="35" t="inlineStr">
        <is>
          <t>COBRANZA VENCIDA</t>
        </is>
      </c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</row>
    <row r="623" ht="20" customHeight="1">
      <c r="A623" s="8" t="inlineStr">
        <is>
          <t>Total</t>
        </is>
      </c>
      <c r="B623" s="11" t="n"/>
    </row>
    <row r="624" ht="18" customHeight="1">
      <c r="A624" s="12" t="inlineStr">
        <is>
          <t>Top 5</t>
        </is>
      </c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</row>
    <row r="625" ht="18" customHeight="1">
      <c r="A625" s="14" t="inlineStr">
        <is>
          <t>1er lugar</t>
        </is>
      </c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</row>
    <row r="626" ht="18" customHeight="1">
      <c r="A626" s="14" t="inlineStr">
        <is>
          <t>2o lugar</t>
        </is>
      </c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</row>
    <row r="627" ht="18" customHeight="1">
      <c r="A627" s="14" t="inlineStr">
        <is>
          <t>3er lugar</t>
        </is>
      </c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</row>
    <row r="628" ht="18" customHeight="1">
      <c r="A628" s="14" t="inlineStr">
        <is>
          <t>4o lugar</t>
        </is>
      </c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</row>
    <row r="629" ht="18" customHeight="1">
      <c r="A629" s="14" t="inlineStr">
        <is>
          <t>5o lugar</t>
        </is>
      </c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</row>
    <row r="630" ht="6" customHeight="1"/>
    <row r="631">
      <c r="A631" s="35" t="inlineStr">
        <is>
          <t>COBRANZA EFECTIVA</t>
        </is>
      </c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</row>
    <row r="632" ht="20" customHeight="1">
      <c r="A632" s="16" t="inlineStr">
        <is>
          <t>Total</t>
        </is>
      </c>
      <c r="B632" s="17" t="n"/>
    </row>
    <row r="633" ht="18" customHeight="1">
      <c r="A633" s="12" t="inlineStr">
        <is>
          <t>Top 5</t>
        </is>
      </c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</row>
    <row r="634" ht="18" customHeight="1">
      <c r="A634" s="14" t="inlineStr">
        <is>
          <t>1er lugar</t>
        </is>
      </c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</row>
    <row r="635" ht="18" customHeight="1">
      <c r="A635" s="14" t="inlineStr">
        <is>
          <t>2o lugar</t>
        </is>
      </c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</row>
    <row r="636" ht="18" customHeight="1">
      <c r="A636" s="14" t="inlineStr">
        <is>
          <t>3er lugar</t>
        </is>
      </c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</row>
    <row r="637" ht="18" customHeight="1">
      <c r="A637" s="14" t="inlineStr">
        <is>
          <t>4o lugar</t>
        </is>
      </c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</row>
    <row r="638" ht="18" customHeight="1">
      <c r="A638" s="14" t="inlineStr">
        <is>
          <t>5o lugar</t>
        </is>
      </c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</row>
    <row r="639" ht="6" customHeight="1"/>
    <row r="640">
      <c r="A640" s="35" t="inlineStr">
        <is>
          <t>COBRANZA RECUPERADA</t>
        </is>
      </c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</row>
    <row r="641" ht="20" customHeight="1">
      <c r="A641" s="8" t="inlineStr">
        <is>
          <t>Total</t>
        </is>
      </c>
      <c r="B641" s="11" t="n"/>
    </row>
    <row r="642" ht="18" customHeight="1">
      <c r="A642" s="12" t="inlineStr">
        <is>
          <t>Top 5</t>
        </is>
      </c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</row>
    <row r="643" ht="18" customHeight="1">
      <c r="A643" s="14" t="inlineStr">
        <is>
          <t>1er lugar</t>
        </is>
      </c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</row>
    <row r="644" ht="18" customHeight="1">
      <c r="A644" s="14" t="inlineStr">
        <is>
          <t>2o lugar</t>
        </is>
      </c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</row>
    <row r="645" ht="18" customHeight="1">
      <c r="A645" s="14" t="inlineStr">
        <is>
          <t>3er lugar</t>
        </is>
      </c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</row>
    <row r="646" ht="18" customHeight="1">
      <c r="A646" s="14" t="inlineStr">
        <is>
          <t>4o lugar</t>
        </is>
      </c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</row>
    <row r="647" ht="18" customHeight="1">
      <c r="A647" s="14" t="inlineStr">
        <is>
          <t>5o lugar</t>
        </is>
      </c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</row>
    <row r="648" ht="6" customHeight="1"/>
    <row r="649">
      <c r="A649" s="35" t="inlineStr">
        <is>
          <t>COBRANZA TOTAL GENERAL</t>
        </is>
      </c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</row>
    <row r="650" ht="20" customHeight="1">
      <c r="A650" s="16" t="inlineStr">
        <is>
          <t>Total</t>
        </is>
      </c>
      <c r="B650" s="17" t="n"/>
    </row>
    <row r="651" ht="18" customHeight="1">
      <c r="A651" s="12" t="inlineStr">
        <is>
          <t>Top 5</t>
        </is>
      </c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</row>
    <row r="652" ht="18" customHeight="1">
      <c r="A652" s="14" t="inlineStr">
        <is>
          <t>1er lugar</t>
        </is>
      </c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</row>
    <row r="653" ht="18" customHeight="1">
      <c r="A653" s="14" t="inlineStr">
        <is>
          <t>2o lugar</t>
        </is>
      </c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</row>
    <row r="654" ht="18" customHeight="1">
      <c r="A654" s="14" t="inlineStr">
        <is>
          <t>3er lugar</t>
        </is>
      </c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</row>
    <row r="655" ht="18" customHeight="1">
      <c r="A655" s="14" t="inlineStr">
        <is>
          <t>4o lugar</t>
        </is>
      </c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</row>
    <row r="656" ht="18" customHeight="1">
      <c r="A656" s="14" t="inlineStr">
        <is>
          <t>5o lugar</t>
        </is>
      </c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</row>
    <row r="657" ht="6" customHeight="1"/>
    <row r="658">
      <c r="A658" s="35" t="inlineStr">
        <is>
          <t>COBRANZA ADELANTADA F.</t>
        </is>
      </c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</row>
    <row r="659" ht="20" customHeight="1">
      <c r="A659" s="8" t="inlineStr">
        <is>
          <t>Total</t>
        </is>
      </c>
      <c r="B659" s="11" t="n"/>
    </row>
    <row r="660" ht="18" customHeight="1">
      <c r="A660" s="12" t="inlineStr">
        <is>
          <t>Top 5</t>
        </is>
      </c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</row>
    <row r="661" ht="18" customHeight="1">
      <c r="A661" s="14" t="inlineStr">
        <is>
          <t>1er lugar</t>
        </is>
      </c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</row>
    <row r="662" ht="18" customHeight="1">
      <c r="A662" s="14" t="inlineStr">
        <is>
          <t>2o lugar</t>
        </is>
      </c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</row>
    <row r="663" ht="18" customHeight="1">
      <c r="A663" s="14" t="inlineStr">
        <is>
          <t>3er lugar</t>
        </is>
      </c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</row>
    <row r="664" ht="18" customHeight="1">
      <c r="A664" s="14" t="inlineStr">
        <is>
          <t>4o lugar</t>
        </is>
      </c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</row>
    <row r="665" ht="18" customHeight="1">
      <c r="A665" s="14" t="inlineStr">
        <is>
          <t>5o lugar</t>
        </is>
      </c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</row>
    <row r="666" ht="6" customHeight="1"/>
    <row r="667">
      <c r="A667" s="82" t="inlineStr">
        <is>
          <t>PROYECCIÓN SEPTIEMBRE → SEPTIEMBRE</t>
        </is>
      </c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</row>
    <row r="668">
      <c r="A668" s="19" t="inlineStr">
        <is>
          <t>Proyección SEPTIEMBRE</t>
        </is>
      </c>
      <c r="B668" s="20" t="n"/>
    </row>
    <row r="670" ht="14" customHeight="1"/>
    <row r="671" ht="22" customHeight="1">
      <c r="A671" s="4" t="inlineStr">
        <is>
          <t>OCTUBRE 2026</t>
        </is>
      </c>
    </row>
    <row r="672" ht="28" customHeight="1">
      <c r="A672" s="5" t="inlineStr">
        <is>
          <t>CONCEPTO</t>
        </is>
      </c>
      <c r="B672" s="5" t="inlineStr">
        <is>
          <t>TOTAL ($)</t>
        </is>
      </c>
      <c r="C672" s="5" t="inlineStr">
        <is>
          <t>TOP 1</t>
        </is>
      </c>
      <c r="D672" s="5" t="inlineStr">
        <is>
          <t>TOP 2</t>
        </is>
      </c>
      <c r="E672" s="5" t="inlineStr">
        <is>
          <t>TOP 3</t>
        </is>
      </c>
      <c r="F672" s="5" t="inlineStr">
        <is>
          <t>TOP 4</t>
        </is>
      </c>
      <c r="G672" s="5" t="inlineStr">
        <is>
          <t>TOP 5</t>
        </is>
      </c>
      <c r="H672" s="5" t="inlineStr">
        <is>
          <t>% TOP 1</t>
        </is>
      </c>
      <c r="I672" s="5" t="inlineStr">
        <is>
          <t>% TOP 2</t>
        </is>
      </c>
      <c r="J672" s="5" t="inlineStr">
        <is>
          <t>% TOP 3</t>
        </is>
      </c>
      <c r="K672" s="5" t="inlineStr">
        <is>
          <t>% TOP 4</t>
        </is>
      </c>
      <c r="L672" s="5" t="inlineStr">
        <is>
          <t>% TOP 5</t>
        </is>
      </c>
      <c r="M672" s="5" t="inlineStr">
        <is>
          <t>% ACUM.</t>
        </is>
      </c>
    </row>
    <row r="673">
      <c r="A673" s="35" t="inlineStr">
        <is>
          <t>DATOS GENERALES</t>
        </is>
      </c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</row>
    <row r="674">
      <c r="A674" s="8" t="inlineStr">
        <is>
          <t>Mes</t>
        </is>
      </c>
      <c r="B674" s="9" t="inlineStr">
        <is>
          <t>OCTUBRE</t>
        </is>
      </c>
      <c r="E674" s="8" t="inlineStr">
        <is>
          <t>Año</t>
        </is>
      </c>
      <c r="F674" s="9" t="inlineStr">
        <is>
          <t>2026</t>
        </is>
      </c>
    </row>
    <row r="675">
      <c r="A675" s="8" t="inlineStr">
        <is>
          <t>Fecha de corte</t>
        </is>
      </c>
      <c r="B675" s="10" t="n"/>
      <c r="E675" s="8" t="inlineStr">
        <is>
          <t>Elaboró</t>
        </is>
      </c>
      <c r="F675" s="10" t="n"/>
    </row>
    <row r="676">
      <c r="A676" s="8" t="inlineStr">
        <is>
          <t>Reportado por</t>
        </is>
      </c>
      <c r="B676" s="10" t="n"/>
      <c r="E676" s="8" t="inlineStr">
        <is>
          <t>Cargo</t>
        </is>
      </c>
      <c r="F676" s="10" t="n"/>
    </row>
    <row r="677" ht="6" customHeight="1"/>
    <row r="678">
      <c r="A678" s="35" t="inlineStr">
        <is>
          <t>COBRANZA CORRIENTE</t>
        </is>
      </c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</row>
    <row r="679" ht="20" customHeight="1">
      <c r="A679" s="8" t="inlineStr">
        <is>
          <t>Total</t>
        </is>
      </c>
      <c r="B679" s="11" t="n"/>
    </row>
    <row r="680" ht="18" customHeight="1">
      <c r="A680" s="12" t="inlineStr">
        <is>
          <t>Top 5</t>
        </is>
      </c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</row>
    <row r="681" ht="18" customHeight="1">
      <c r="A681" s="14" t="inlineStr">
        <is>
          <t>1er lugar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</row>
    <row r="682" ht="18" customHeight="1">
      <c r="A682" s="14" t="inlineStr">
        <is>
          <t>2o lugar</t>
        </is>
      </c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</row>
    <row r="683" ht="18" customHeight="1">
      <c r="A683" s="14" t="inlineStr">
        <is>
          <t>3er lugar</t>
        </is>
      </c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</row>
    <row r="684" ht="18" customHeight="1">
      <c r="A684" s="14" t="inlineStr">
        <is>
          <t>4o lugar</t>
        </is>
      </c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</row>
    <row r="685" ht="18" customHeight="1">
      <c r="A685" s="14" t="inlineStr">
        <is>
          <t>5o lugar</t>
        </is>
      </c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</row>
    <row r="686" ht="6" customHeight="1"/>
    <row r="687">
      <c r="A687" s="35" t="inlineStr">
        <is>
          <t>CANCELACIONES</t>
        </is>
      </c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</row>
    <row r="688" ht="20" customHeight="1">
      <c r="A688" s="16" t="inlineStr">
        <is>
          <t>Total</t>
        </is>
      </c>
      <c r="B688" s="17" t="n"/>
    </row>
    <row r="689" ht="18" customHeight="1">
      <c r="A689" s="12" t="inlineStr">
        <is>
          <t>Top 5</t>
        </is>
      </c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</row>
    <row r="690" ht="18" customHeight="1">
      <c r="A690" s="14" t="inlineStr">
        <is>
          <t>1er lugar</t>
        </is>
      </c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</row>
    <row r="691" ht="18" customHeight="1">
      <c r="A691" s="14" t="inlineStr">
        <is>
          <t>2o lugar</t>
        </is>
      </c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</row>
    <row r="692" ht="18" customHeight="1">
      <c r="A692" s="14" t="inlineStr">
        <is>
          <t>3er lugar</t>
        </is>
      </c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</row>
    <row r="693" ht="18" customHeight="1">
      <c r="A693" s="14" t="inlineStr">
        <is>
          <t>4o lugar</t>
        </is>
      </c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</row>
    <row r="694" ht="18" customHeight="1">
      <c r="A694" s="14" t="inlineStr">
        <is>
          <t>5o lugar</t>
        </is>
      </c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</row>
    <row r="695" ht="6" customHeight="1"/>
    <row r="696">
      <c r="A696" s="35" t="inlineStr">
        <is>
          <t>COBRANZA VENCIDA</t>
        </is>
      </c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</row>
    <row r="697" ht="20" customHeight="1">
      <c r="A697" s="8" t="inlineStr">
        <is>
          <t>Total</t>
        </is>
      </c>
      <c r="B697" s="11" t="n"/>
    </row>
    <row r="698" ht="18" customHeight="1">
      <c r="A698" s="12" t="inlineStr">
        <is>
          <t>Top 5</t>
        </is>
      </c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</row>
    <row r="699" ht="18" customHeight="1">
      <c r="A699" s="14" t="inlineStr">
        <is>
          <t>1er lugar</t>
        </is>
      </c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</row>
    <row r="700" ht="18" customHeight="1">
      <c r="A700" s="14" t="inlineStr">
        <is>
          <t>2o lugar</t>
        </is>
      </c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</row>
    <row r="701" ht="18" customHeight="1">
      <c r="A701" s="14" t="inlineStr">
        <is>
          <t>3er lugar</t>
        </is>
      </c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</row>
    <row r="702" ht="18" customHeight="1">
      <c r="A702" s="14" t="inlineStr">
        <is>
          <t>4o lugar</t>
        </is>
      </c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</row>
    <row r="703" ht="18" customHeight="1">
      <c r="A703" s="14" t="inlineStr">
        <is>
          <t>5o lugar</t>
        </is>
      </c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</row>
    <row r="704" ht="6" customHeight="1"/>
    <row r="705">
      <c r="A705" s="35" t="inlineStr">
        <is>
          <t>COBRANZA EFECTIVA</t>
        </is>
      </c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</row>
    <row r="706" ht="20" customHeight="1">
      <c r="A706" s="16" t="inlineStr">
        <is>
          <t>Total</t>
        </is>
      </c>
      <c r="B706" s="17" t="n"/>
    </row>
    <row r="707" ht="18" customHeight="1">
      <c r="A707" s="12" t="inlineStr">
        <is>
          <t>Top 5</t>
        </is>
      </c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</row>
    <row r="708" ht="18" customHeight="1">
      <c r="A708" s="14" t="inlineStr">
        <is>
          <t>1er lugar</t>
        </is>
      </c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</row>
    <row r="709" ht="18" customHeight="1">
      <c r="A709" s="14" t="inlineStr">
        <is>
          <t>2o lugar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</row>
    <row r="710" ht="18" customHeight="1">
      <c r="A710" s="14" t="inlineStr">
        <is>
          <t>3er lugar</t>
        </is>
      </c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</row>
    <row r="711" ht="18" customHeight="1">
      <c r="A711" s="14" t="inlineStr">
        <is>
          <t>4o lugar</t>
        </is>
      </c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</row>
    <row r="712" ht="18" customHeight="1">
      <c r="A712" s="14" t="inlineStr">
        <is>
          <t>5o lugar</t>
        </is>
      </c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</row>
    <row r="713" ht="6" customHeight="1"/>
    <row r="714">
      <c r="A714" s="35" t="inlineStr">
        <is>
          <t>COBRANZA RECUPERADA</t>
        </is>
      </c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</row>
    <row r="715" ht="20" customHeight="1">
      <c r="A715" s="8" t="inlineStr">
        <is>
          <t>Total</t>
        </is>
      </c>
      <c r="B715" s="11" t="n"/>
    </row>
    <row r="716" ht="18" customHeight="1">
      <c r="A716" s="12" t="inlineStr">
        <is>
          <t>Top 5</t>
        </is>
      </c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</row>
    <row r="717" ht="18" customHeight="1">
      <c r="A717" s="14" t="inlineStr">
        <is>
          <t>1er lugar</t>
        </is>
      </c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</row>
    <row r="718" ht="18" customHeight="1">
      <c r="A718" s="14" t="inlineStr">
        <is>
          <t>2o lugar</t>
        </is>
      </c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</row>
    <row r="719" ht="18" customHeight="1">
      <c r="A719" s="14" t="inlineStr">
        <is>
          <t>3er lugar</t>
        </is>
      </c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</row>
    <row r="720" ht="18" customHeight="1">
      <c r="A720" s="14" t="inlineStr">
        <is>
          <t>4o lugar</t>
        </is>
      </c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</row>
    <row r="721" ht="18" customHeight="1">
      <c r="A721" s="14" t="inlineStr">
        <is>
          <t>5o lugar</t>
        </is>
      </c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</row>
    <row r="722" ht="6" customHeight="1"/>
    <row r="723">
      <c r="A723" s="35" t="inlineStr">
        <is>
          <t>COBRANZA TOTAL GENERAL</t>
        </is>
      </c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</row>
    <row r="724" ht="20" customHeight="1">
      <c r="A724" s="16" t="inlineStr">
        <is>
          <t>Total</t>
        </is>
      </c>
      <c r="B724" s="17" t="n"/>
    </row>
    <row r="725" ht="18" customHeight="1">
      <c r="A725" s="12" t="inlineStr">
        <is>
          <t>Top 5</t>
        </is>
      </c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</row>
    <row r="726" ht="18" customHeight="1">
      <c r="A726" s="14" t="inlineStr">
        <is>
          <t>1er lugar</t>
        </is>
      </c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</row>
    <row r="727" ht="18" customHeight="1">
      <c r="A727" s="14" t="inlineStr">
        <is>
          <t>2o lugar</t>
        </is>
      </c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</row>
    <row r="728" ht="18" customHeight="1">
      <c r="A728" s="14" t="inlineStr">
        <is>
          <t>3er lugar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</row>
    <row r="729" ht="18" customHeight="1">
      <c r="A729" s="14" t="inlineStr">
        <is>
          <t>4o lugar</t>
        </is>
      </c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</row>
    <row r="730" ht="18" customHeight="1">
      <c r="A730" s="14" t="inlineStr">
        <is>
          <t>5o lugar</t>
        </is>
      </c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</row>
    <row r="731" ht="6" customHeight="1"/>
    <row r="732">
      <c r="A732" s="35" t="inlineStr">
        <is>
          <t>COBRANZA ADELANTADA F.</t>
        </is>
      </c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</row>
    <row r="733" ht="20" customHeight="1">
      <c r="A733" s="8" t="inlineStr">
        <is>
          <t>Total</t>
        </is>
      </c>
      <c r="B733" s="11" t="n"/>
    </row>
    <row r="734" ht="18" customHeight="1">
      <c r="A734" s="12" t="inlineStr">
        <is>
          <t>Top 5</t>
        </is>
      </c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</row>
    <row r="735" ht="18" customHeight="1">
      <c r="A735" s="14" t="inlineStr">
        <is>
          <t>1er lugar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</row>
    <row r="736" ht="18" customHeight="1">
      <c r="A736" s="14" t="inlineStr">
        <is>
          <t>2o lugar</t>
        </is>
      </c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</row>
    <row r="737" ht="18" customHeight="1">
      <c r="A737" s="14" t="inlineStr">
        <is>
          <t>3er lugar</t>
        </is>
      </c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</row>
    <row r="738" ht="18" customHeight="1">
      <c r="A738" s="14" t="inlineStr">
        <is>
          <t>4o lugar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</row>
    <row r="739" ht="18" customHeight="1">
      <c r="A739" s="14" t="inlineStr">
        <is>
          <t>5o lugar</t>
        </is>
      </c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</row>
    <row r="740" ht="6" customHeight="1"/>
    <row r="741">
      <c r="A741" s="82" t="inlineStr">
        <is>
          <t>PROYECCIÓN OCTUBRE → OCTUBRE</t>
        </is>
      </c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</row>
    <row r="742">
      <c r="A742" s="19" t="inlineStr">
        <is>
          <t>Proyección OCTUBRE</t>
        </is>
      </c>
      <c r="B742" s="20" t="n"/>
    </row>
    <row r="744" ht="14" customHeight="1"/>
    <row r="745" ht="22" customHeight="1">
      <c r="A745" s="4" t="inlineStr">
        <is>
          <t>NOVIEMBRE 2026</t>
        </is>
      </c>
    </row>
    <row r="746" ht="28" customHeight="1">
      <c r="A746" s="5" t="inlineStr">
        <is>
          <t>CONCEPTO</t>
        </is>
      </c>
      <c r="B746" s="5" t="inlineStr">
        <is>
          <t>TOTAL ($)</t>
        </is>
      </c>
      <c r="C746" s="5" t="inlineStr">
        <is>
          <t>TOP 1</t>
        </is>
      </c>
      <c r="D746" s="5" t="inlineStr">
        <is>
          <t>TOP 2</t>
        </is>
      </c>
      <c r="E746" s="5" t="inlineStr">
        <is>
          <t>TOP 3</t>
        </is>
      </c>
      <c r="F746" s="5" t="inlineStr">
        <is>
          <t>TOP 4</t>
        </is>
      </c>
      <c r="G746" s="5" t="inlineStr">
        <is>
          <t>TOP 5</t>
        </is>
      </c>
      <c r="H746" s="5" t="inlineStr">
        <is>
          <t>% TOP 1</t>
        </is>
      </c>
      <c r="I746" s="5" t="inlineStr">
        <is>
          <t>% TOP 2</t>
        </is>
      </c>
      <c r="J746" s="5" t="inlineStr">
        <is>
          <t>% TOP 3</t>
        </is>
      </c>
      <c r="K746" s="5" t="inlineStr">
        <is>
          <t>% TOP 4</t>
        </is>
      </c>
      <c r="L746" s="5" t="inlineStr">
        <is>
          <t>% TOP 5</t>
        </is>
      </c>
      <c r="M746" s="5" t="inlineStr">
        <is>
          <t>% ACUM.</t>
        </is>
      </c>
    </row>
    <row r="747">
      <c r="A747" s="35" t="inlineStr">
        <is>
          <t>DATOS GENERALES</t>
        </is>
      </c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</row>
    <row r="748">
      <c r="A748" s="8" t="inlineStr">
        <is>
          <t>Mes</t>
        </is>
      </c>
      <c r="B748" s="9" t="inlineStr">
        <is>
          <t>NOVIEMBRE</t>
        </is>
      </c>
      <c r="E748" s="8" t="inlineStr">
        <is>
          <t>Año</t>
        </is>
      </c>
      <c r="F748" s="9" t="inlineStr">
        <is>
          <t>2026</t>
        </is>
      </c>
    </row>
    <row r="749">
      <c r="A749" s="8" t="inlineStr">
        <is>
          <t>Fecha de corte</t>
        </is>
      </c>
      <c r="B749" s="10" t="n"/>
      <c r="E749" s="8" t="inlineStr">
        <is>
          <t>Elaboró</t>
        </is>
      </c>
      <c r="F749" s="10" t="n"/>
    </row>
    <row r="750">
      <c r="A750" s="8" t="inlineStr">
        <is>
          <t>Reportado por</t>
        </is>
      </c>
      <c r="B750" s="10" t="n"/>
      <c r="E750" s="8" t="inlineStr">
        <is>
          <t>Cargo</t>
        </is>
      </c>
      <c r="F750" s="10" t="n"/>
    </row>
    <row r="751" ht="6" customHeight="1"/>
    <row r="752">
      <c r="A752" s="35" t="inlineStr">
        <is>
          <t>COBRANZA CORRIENTE</t>
        </is>
      </c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</row>
    <row r="753" ht="20" customHeight="1">
      <c r="A753" s="8" t="inlineStr">
        <is>
          <t>Total</t>
        </is>
      </c>
      <c r="B753" s="11" t="n"/>
    </row>
    <row r="754" ht="18" customHeight="1">
      <c r="A754" s="12" t="inlineStr">
        <is>
          <t>Top 5</t>
        </is>
      </c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</row>
    <row r="755" ht="18" customHeight="1">
      <c r="A755" s="14" t="inlineStr">
        <is>
          <t>1er lugar</t>
        </is>
      </c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</row>
    <row r="756" ht="18" customHeight="1">
      <c r="A756" s="14" t="inlineStr">
        <is>
          <t>2o lugar</t>
        </is>
      </c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</row>
    <row r="757" ht="18" customHeight="1">
      <c r="A757" s="14" t="inlineStr">
        <is>
          <t>3er lugar</t>
        </is>
      </c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</row>
    <row r="758" ht="18" customHeight="1">
      <c r="A758" s="14" t="inlineStr">
        <is>
          <t>4o lugar</t>
        </is>
      </c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</row>
    <row r="759" ht="18" customHeight="1">
      <c r="A759" s="14" t="inlineStr">
        <is>
          <t>5o lugar</t>
        </is>
      </c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</row>
    <row r="760" ht="6" customHeight="1"/>
    <row r="761">
      <c r="A761" s="35" t="inlineStr">
        <is>
          <t>CANCELACIONES</t>
        </is>
      </c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</row>
    <row r="762" ht="20" customHeight="1">
      <c r="A762" s="16" t="inlineStr">
        <is>
          <t>Total</t>
        </is>
      </c>
      <c r="B762" s="17" t="n"/>
    </row>
    <row r="763" ht="18" customHeight="1">
      <c r="A763" s="12" t="inlineStr">
        <is>
          <t>Top 5</t>
        </is>
      </c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</row>
    <row r="764" ht="18" customHeight="1">
      <c r="A764" s="14" t="inlineStr">
        <is>
          <t>1er lugar</t>
        </is>
      </c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</row>
    <row r="765" ht="18" customHeight="1">
      <c r="A765" s="14" t="inlineStr">
        <is>
          <t>2o lugar</t>
        </is>
      </c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</row>
    <row r="766" ht="18" customHeight="1">
      <c r="A766" s="14" t="inlineStr">
        <is>
          <t>3er lugar</t>
        </is>
      </c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</row>
    <row r="767" ht="18" customHeight="1">
      <c r="A767" s="14" t="inlineStr">
        <is>
          <t>4o lugar</t>
        </is>
      </c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</row>
    <row r="768" ht="18" customHeight="1">
      <c r="A768" s="14" t="inlineStr">
        <is>
          <t>5o lugar</t>
        </is>
      </c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</row>
    <row r="769" ht="6" customHeight="1"/>
    <row r="770">
      <c r="A770" s="35" t="inlineStr">
        <is>
          <t>COBRANZA VENCIDA</t>
        </is>
      </c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</row>
    <row r="771" ht="20" customHeight="1">
      <c r="A771" s="8" t="inlineStr">
        <is>
          <t>Total</t>
        </is>
      </c>
      <c r="B771" s="11" t="n"/>
    </row>
    <row r="772" ht="18" customHeight="1">
      <c r="A772" s="12" t="inlineStr">
        <is>
          <t>Top 5</t>
        </is>
      </c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</row>
    <row r="773" ht="18" customHeight="1">
      <c r="A773" s="14" t="inlineStr">
        <is>
          <t>1er lugar</t>
        </is>
      </c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</row>
    <row r="774" ht="18" customHeight="1">
      <c r="A774" s="14" t="inlineStr">
        <is>
          <t>2o lugar</t>
        </is>
      </c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</row>
    <row r="775" ht="18" customHeight="1">
      <c r="A775" s="14" t="inlineStr">
        <is>
          <t>3er lugar</t>
        </is>
      </c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</row>
    <row r="776" ht="18" customHeight="1">
      <c r="A776" s="14" t="inlineStr">
        <is>
          <t>4o lugar</t>
        </is>
      </c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</row>
    <row r="777" ht="18" customHeight="1">
      <c r="A777" s="14" t="inlineStr">
        <is>
          <t>5o lugar</t>
        </is>
      </c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</row>
    <row r="778" ht="6" customHeight="1"/>
    <row r="779">
      <c r="A779" s="35" t="inlineStr">
        <is>
          <t>COBRANZA EFECTIVA</t>
        </is>
      </c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</row>
    <row r="780" ht="20" customHeight="1">
      <c r="A780" s="16" t="inlineStr">
        <is>
          <t>Total</t>
        </is>
      </c>
      <c r="B780" s="17" t="n"/>
    </row>
    <row r="781" ht="18" customHeight="1">
      <c r="A781" s="12" t="inlineStr">
        <is>
          <t>Top 5</t>
        </is>
      </c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</row>
    <row r="782" ht="18" customHeight="1">
      <c r="A782" s="14" t="inlineStr">
        <is>
          <t>1er lugar</t>
        </is>
      </c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</row>
    <row r="783" ht="18" customHeight="1">
      <c r="A783" s="14" t="inlineStr">
        <is>
          <t>2o lugar</t>
        </is>
      </c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</row>
    <row r="784" ht="18" customHeight="1">
      <c r="A784" s="14" t="inlineStr">
        <is>
          <t>3er lugar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</row>
    <row r="785" ht="18" customHeight="1">
      <c r="A785" s="14" t="inlineStr">
        <is>
          <t>4o lugar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</row>
    <row r="786" ht="18" customHeight="1">
      <c r="A786" s="14" t="inlineStr">
        <is>
          <t>5o lugar</t>
        </is>
      </c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</row>
    <row r="787" ht="6" customHeight="1"/>
    <row r="788">
      <c r="A788" s="35" t="inlineStr">
        <is>
          <t>COBRANZA RECUPERADA</t>
        </is>
      </c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</row>
    <row r="789" ht="20" customHeight="1">
      <c r="A789" s="8" t="inlineStr">
        <is>
          <t>Total</t>
        </is>
      </c>
      <c r="B789" s="11" t="n"/>
    </row>
    <row r="790" ht="18" customHeight="1">
      <c r="A790" s="12" t="inlineStr">
        <is>
          <t>Top 5</t>
        </is>
      </c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</row>
    <row r="791" ht="18" customHeight="1">
      <c r="A791" s="14" t="inlineStr">
        <is>
          <t>1er lugar</t>
        </is>
      </c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</row>
    <row r="792" ht="18" customHeight="1">
      <c r="A792" s="14" t="inlineStr">
        <is>
          <t>2o lugar</t>
        </is>
      </c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</row>
    <row r="793" ht="18" customHeight="1">
      <c r="A793" s="14" t="inlineStr">
        <is>
          <t>3er lugar</t>
        </is>
      </c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</row>
    <row r="794" ht="18" customHeight="1">
      <c r="A794" s="14" t="inlineStr">
        <is>
          <t>4o lugar</t>
        </is>
      </c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</row>
    <row r="795" ht="18" customHeight="1">
      <c r="A795" s="14" t="inlineStr">
        <is>
          <t>5o lugar</t>
        </is>
      </c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</row>
    <row r="796" ht="6" customHeight="1"/>
    <row r="797">
      <c r="A797" s="35" t="inlineStr">
        <is>
          <t>COBRANZA TOTAL GENERAL</t>
        </is>
      </c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</row>
    <row r="798" ht="20" customHeight="1">
      <c r="A798" s="16" t="inlineStr">
        <is>
          <t>Total</t>
        </is>
      </c>
      <c r="B798" s="17" t="n"/>
    </row>
    <row r="799" ht="18" customHeight="1">
      <c r="A799" s="12" t="inlineStr">
        <is>
          <t>Top 5</t>
        </is>
      </c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</row>
    <row r="800" ht="18" customHeight="1">
      <c r="A800" s="14" t="inlineStr">
        <is>
          <t>1er lugar</t>
        </is>
      </c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</row>
    <row r="801" ht="18" customHeight="1">
      <c r="A801" s="14" t="inlineStr">
        <is>
          <t>2o lugar</t>
        </is>
      </c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</row>
    <row r="802" ht="18" customHeight="1">
      <c r="A802" s="14" t="inlineStr">
        <is>
          <t>3er lugar</t>
        </is>
      </c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</row>
    <row r="803" ht="18" customHeight="1">
      <c r="A803" s="14" t="inlineStr">
        <is>
          <t>4o lugar</t>
        </is>
      </c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</row>
    <row r="804" ht="18" customHeight="1">
      <c r="A804" s="14" t="inlineStr">
        <is>
          <t>5o lugar</t>
        </is>
      </c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</row>
    <row r="805" ht="6" customHeight="1"/>
    <row r="806">
      <c r="A806" s="35" t="inlineStr">
        <is>
          <t>COBRANZA ADELANTADA F.</t>
        </is>
      </c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</row>
    <row r="807" ht="20" customHeight="1">
      <c r="A807" s="8" t="inlineStr">
        <is>
          <t>Total</t>
        </is>
      </c>
      <c r="B807" s="11" t="n"/>
    </row>
    <row r="808" ht="18" customHeight="1">
      <c r="A808" s="12" t="inlineStr">
        <is>
          <t>Top 5</t>
        </is>
      </c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</row>
    <row r="809" ht="18" customHeight="1">
      <c r="A809" s="14" t="inlineStr">
        <is>
          <t>1er lugar</t>
        </is>
      </c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</row>
    <row r="810" ht="18" customHeight="1">
      <c r="A810" s="14" t="inlineStr">
        <is>
          <t>2o lugar</t>
        </is>
      </c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</row>
    <row r="811" ht="18" customHeight="1">
      <c r="A811" s="14" t="inlineStr">
        <is>
          <t>3er lugar</t>
        </is>
      </c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</row>
    <row r="812" ht="18" customHeight="1">
      <c r="A812" s="14" t="inlineStr">
        <is>
          <t>4o lugar</t>
        </is>
      </c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</row>
    <row r="813" ht="18" customHeight="1">
      <c r="A813" s="14" t="inlineStr">
        <is>
          <t>5o lugar</t>
        </is>
      </c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</row>
    <row r="814" ht="6" customHeight="1"/>
    <row r="815">
      <c r="A815" s="82" t="inlineStr">
        <is>
          <t>PROYECCIÓN NOVIEMBRE → NOVIEMBRE</t>
        </is>
      </c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</row>
    <row r="816">
      <c r="A816" s="19" t="inlineStr">
        <is>
          <t>Proyección NOVIEMBRE</t>
        </is>
      </c>
      <c r="B816" s="20" t="n"/>
    </row>
    <row r="818" ht="14" customHeight="1"/>
    <row r="819" ht="22" customHeight="1">
      <c r="A819" s="4" t="inlineStr">
        <is>
          <t>DICIEMBRE 2026</t>
        </is>
      </c>
    </row>
    <row r="820" ht="28" customHeight="1">
      <c r="A820" s="5" t="inlineStr">
        <is>
          <t>CONCEPTO</t>
        </is>
      </c>
      <c r="B820" s="5" t="inlineStr">
        <is>
          <t>TOTAL ($)</t>
        </is>
      </c>
      <c r="C820" s="5" t="inlineStr">
        <is>
          <t>TOP 1</t>
        </is>
      </c>
      <c r="D820" s="5" t="inlineStr">
        <is>
          <t>TOP 2</t>
        </is>
      </c>
      <c r="E820" s="5" t="inlineStr">
        <is>
          <t>TOP 3</t>
        </is>
      </c>
      <c r="F820" s="5" t="inlineStr">
        <is>
          <t>TOP 4</t>
        </is>
      </c>
      <c r="G820" s="5" t="inlineStr">
        <is>
          <t>TOP 5</t>
        </is>
      </c>
      <c r="H820" s="5" t="inlineStr">
        <is>
          <t>% TOP 1</t>
        </is>
      </c>
      <c r="I820" s="5" t="inlineStr">
        <is>
          <t>% TOP 2</t>
        </is>
      </c>
      <c r="J820" s="5" t="inlineStr">
        <is>
          <t>% TOP 3</t>
        </is>
      </c>
      <c r="K820" s="5" t="inlineStr">
        <is>
          <t>% TOP 4</t>
        </is>
      </c>
      <c r="L820" s="5" t="inlineStr">
        <is>
          <t>% TOP 5</t>
        </is>
      </c>
      <c r="M820" s="5" t="inlineStr">
        <is>
          <t>% ACUM.</t>
        </is>
      </c>
    </row>
    <row r="821">
      <c r="A821" s="35" t="inlineStr">
        <is>
          <t>DATOS GENERALES</t>
        </is>
      </c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</row>
    <row r="822">
      <c r="A822" s="8" t="inlineStr">
        <is>
          <t>Mes</t>
        </is>
      </c>
      <c r="B822" s="9" t="inlineStr">
        <is>
          <t>DICIEMBRE</t>
        </is>
      </c>
      <c r="E822" s="8" t="inlineStr">
        <is>
          <t>Año</t>
        </is>
      </c>
      <c r="F822" s="9" t="inlineStr">
        <is>
          <t>2026</t>
        </is>
      </c>
    </row>
    <row r="823">
      <c r="A823" s="8" t="inlineStr">
        <is>
          <t>Fecha de corte</t>
        </is>
      </c>
      <c r="B823" s="10" t="n"/>
      <c r="E823" s="8" t="inlineStr">
        <is>
          <t>Elaboró</t>
        </is>
      </c>
      <c r="F823" s="10" t="n"/>
    </row>
    <row r="824">
      <c r="A824" s="8" t="inlineStr">
        <is>
          <t>Reportado por</t>
        </is>
      </c>
      <c r="B824" s="10" t="n"/>
      <c r="E824" s="8" t="inlineStr">
        <is>
          <t>Cargo</t>
        </is>
      </c>
      <c r="F824" s="10" t="n"/>
    </row>
    <row r="825" ht="6" customHeight="1"/>
    <row r="826">
      <c r="A826" s="35" t="inlineStr">
        <is>
          <t>COBRANZA CORRIENTE</t>
        </is>
      </c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</row>
    <row r="827" ht="20" customHeight="1">
      <c r="A827" s="8" t="inlineStr">
        <is>
          <t>Total</t>
        </is>
      </c>
      <c r="B827" s="11" t="n"/>
    </row>
    <row r="828" ht="18" customHeight="1">
      <c r="A828" s="12" t="inlineStr">
        <is>
          <t>Top 5</t>
        </is>
      </c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</row>
    <row r="829" ht="18" customHeight="1">
      <c r="A829" s="14" t="inlineStr">
        <is>
          <t>1er lugar</t>
        </is>
      </c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</row>
    <row r="830" ht="18" customHeight="1">
      <c r="A830" s="14" t="inlineStr">
        <is>
          <t>2o lugar</t>
        </is>
      </c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</row>
    <row r="831" ht="18" customHeight="1">
      <c r="A831" s="14" t="inlineStr">
        <is>
          <t>3er lugar</t>
        </is>
      </c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</row>
    <row r="832" ht="18" customHeight="1">
      <c r="A832" s="14" t="inlineStr">
        <is>
          <t>4o lugar</t>
        </is>
      </c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</row>
    <row r="833" ht="18" customHeight="1">
      <c r="A833" s="14" t="inlineStr">
        <is>
          <t>5o lugar</t>
        </is>
      </c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</row>
    <row r="834" ht="6" customHeight="1"/>
    <row r="835">
      <c r="A835" s="35" t="inlineStr">
        <is>
          <t>CANCELACIONES</t>
        </is>
      </c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</row>
    <row r="836" ht="20" customHeight="1">
      <c r="A836" s="16" t="inlineStr">
        <is>
          <t>Total</t>
        </is>
      </c>
      <c r="B836" s="17" t="n"/>
    </row>
    <row r="837" ht="18" customHeight="1">
      <c r="A837" s="12" t="inlineStr">
        <is>
          <t>Top 5</t>
        </is>
      </c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</row>
    <row r="838" ht="18" customHeight="1">
      <c r="A838" s="14" t="inlineStr">
        <is>
          <t>1er lugar</t>
        </is>
      </c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</row>
    <row r="839" ht="18" customHeight="1">
      <c r="A839" s="14" t="inlineStr">
        <is>
          <t>2o lugar</t>
        </is>
      </c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</row>
    <row r="840" ht="18" customHeight="1">
      <c r="A840" s="14" t="inlineStr">
        <is>
          <t>3er lugar</t>
        </is>
      </c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</row>
    <row r="841" ht="18" customHeight="1">
      <c r="A841" s="14" t="inlineStr">
        <is>
          <t>4o lugar</t>
        </is>
      </c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</row>
    <row r="842" ht="18" customHeight="1">
      <c r="A842" s="14" t="inlineStr">
        <is>
          <t>5o lugar</t>
        </is>
      </c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</row>
    <row r="843" ht="6" customHeight="1"/>
    <row r="844">
      <c r="A844" s="35" t="inlineStr">
        <is>
          <t>COBRANZA VENCIDA</t>
        </is>
      </c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</row>
    <row r="845" ht="20" customHeight="1">
      <c r="A845" s="8" t="inlineStr">
        <is>
          <t>Total</t>
        </is>
      </c>
      <c r="B845" s="11" t="n"/>
    </row>
    <row r="846" ht="18" customHeight="1">
      <c r="A846" s="12" t="inlineStr">
        <is>
          <t>Top 5</t>
        </is>
      </c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</row>
    <row r="847" ht="18" customHeight="1">
      <c r="A847" s="14" t="inlineStr">
        <is>
          <t>1er lugar</t>
        </is>
      </c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</row>
    <row r="848" ht="18" customHeight="1">
      <c r="A848" s="14" t="inlineStr">
        <is>
          <t>2o lugar</t>
        </is>
      </c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</row>
    <row r="849" ht="18" customHeight="1">
      <c r="A849" s="14" t="inlineStr">
        <is>
          <t>3er lugar</t>
        </is>
      </c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</row>
    <row r="850" ht="18" customHeight="1">
      <c r="A850" s="14" t="inlineStr">
        <is>
          <t>4o lugar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</row>
    <row r="851" ht="18" customHeight="1">
      <c r="A851" s="14" t="inlineStr">
        <is>
          <t>5o lugar</t>
        </is>
      </c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</row>
    <row r="852" ht="6" customHeight="1"/>
    <row r="853">
      <c r="A853" s="35" t="inlineStr">
        <is>
          <t>COBRANZA EFECTIVA</t>
        </is>
      </c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</row>
    <row r="854" ht="20" customHeight="1">
      <c r="A854" s="16" t="inlineStr">
        <is>
          <t>Total</t>
        </is>
      </c>
      <c r="B854" s="17" t="n"/>
    </row>
    <row r="855" ht="18" customHeight="1">
      <c r="A855" s="12" t="inlineStr">
        <is>
          <t>Top 5</t>
        </is>
      </c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</row>
    <row r="856" ht="18" customHeight="1">
      <c r="A856" s="14" t="inlineStr">
        <is>
          <t>1er lugar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</row>
    <row r="857" ht="18" customHeight="1">
      <c r="A857" s="14" t="inlineStr">
        <is>
          <t>2o lugar</t>
        </is>
      </c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</row>
    <row r="858" ht="18" customHeight="1">
      <c r="A858" s="14" t="inlineStr">
        <is>
          <t>3er lugar</t>
        </is>
      </c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</row>
    <row r="859" ht="18" customHeight="1">
      <c r="A859" s="14" t="inlineStr">
        <is>
          <t>4o lugar</t>
        </is>
      </c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</row>
    <row r="860" ht="18" customHeight="1">
      <c r="A860" s="14" t="inlineStr">
        <is>
          <t>5o lugar</t>
        </is>
      </c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</row>
    <row r="861" ht="6" customHeight="1"/>
    <row r="862">
      <c r="A862" s="35" t="inlineStr">
        <is>
          <t>COBRANZA RECUPERADA</t>
        </is>
      </c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</row>
    <row r="863" ht="20" customHeight="1">
      <c r="A863" s="8" t="inlineStr">
        <is>
          <t>Total</t>
        </is>
      </c>
      <c r="B863" s="11" t="n"/>
    </row>
    <row r="864" ht="18" customHeight="1">
      <c r="A864" s="12" t="inlineStr">
        <is>
          <t>Top 5</t>
        </is>
      </c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</row>
    <row r="865" ht="18" customHeight="1">
      <c r="A865" s="14" t="inlineStr">
        <is>
          <t>1er lugar</t>
        </is>
      </c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</row>
    <row r="866" ht="18" customHeight="1">
      <c r="A866" s="14" t="inlineStr">
        <is>
          <t>2o lugar</t>
        </is>
      </c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</row>
    <row r="867" ht="18" customHeight="1">
      <c r="A867" s="14" t="inlineStr">
        <is>
          <t>3er lugar</t>
        </is>
      </c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</row>
    <row r="868" ht="18" customHeight="1">
      <c r="A868" s="14" t="inlineStr">
        <is>
          <t>4o lugar</t>
        </is>
      </c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</row>
    <row r="869" ht="18" customHeight="1">
      <c r="A869" s="14" t="inlineStr">
        <is>
          <t>5o lugar</t>
        </is>
      </c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</row>
    <row r="870" ht="6" customHeight="1"/>
    <row r="871">
      <c r="A871" s="35" t="inlineStr">
        <is>
          <t>COBRANZA TOTAL GENERAL</t>
        </is>
      </c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</row>
    <row r="872" ht="20" customHeight="1">
      <c r="A872" s="16" t="inlineStr">
        <is>
          <t>Total</t>
        </is>
      </c>
      <c r="B872" s="17" t="n"/>
    </row>
    <row r="873" ht="18" customHeight="1">
      <c r="A873" s="12" t="inlineStr">
        <is>
          <t>Top 5</t>
        </is>
      </c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</row>
    <row r="874" ht="18" customHeight="1">
      <c r="A874" s="14" t="inlineStr">
        <is>
          <t>1er lugar</t>
        </is>
      </c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</row>
    <row r="875" ht="18" customHeight="1">
      <c r="A875" s="14" t="inlineStr">
        <is>
          <t>2o lugar</t>
        </is>
      </c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</row>
    <row r="876" ht="18" customHeight="1">
      <c r="A876" s="14" t="inlineStr">
        <is>
          <t>3er lugar</t>
        </is>
      </c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</row>
    <row r="877" ht="18" customHeight="1">
      <c r="A877" s="14" t="inlineStr">
        <is>
          <t>4o lugar</t>
        </is>
      </c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</row>
    <row r="878" ht="18" customHeight="1">
      <c r="A878" s="14" t="inlineStr">
        <is>
          <t>5o lugar</t>
        </is>
      </c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</row>
    <row r="879" ht="6" customHeight="1"/>
    <row r="880">
      <c r="A880" s="35" t="inlineStr">
        <is>
          <t>COBRANZA ADELANTADA F.</t>
        </is>
      </c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</row>
    <row r="881" ht="20" customHeight="1">
      <c r="A881" s="8" t="inlineStr">
        <is>
          <t>Total</t>
        </is>
      </c>
      <c r="B881" s="11" t="n"/>
    </row>
    <row r="882" ht="18" customHeight="1">
      <c r="A882" s="12" t="inlineStr">
        <is>
          <t>Top 5</t>
        </is>
      </c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</row>
    <row r="883" ht="18" customHeight="1">
      <c r="A883" s="14" t="inlineStr">
        <is>
          <t>1er lugar</t>
        </is>
      </c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</row>
    <row r="884" ht="18" customHeight="1">
      <c r="A884" s="14" t="inlineStr">
        <is>
          <t>2o lugar</t>
        </is>
      </c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</row>
    <row r="885" ht="18" customHeight="1">
      <c r="A885" s="14" t="inlineStr">
        <is>
          <t>3er lugar</t>
        </is>
      </c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</row>
    <row r="886" ht="18" customHeight="1">
      <c r="A886" s="14" t="inlineStr">
        <is>
          <t>4o lugar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</row>
    <row r="887" ht="18" customHeight="1">
      <c r="A887" s="14" t="inlineStr">
        <is>
          <t>5o lugar</t>
        </is>
      </c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</row>
    <row r="888" ht="6" customHeight="1"/>
    <row r="889">
      <c r="A889" s="82" t="inlineStr">
        <is>
          <t>PROYECCIÓN DICIEMBRE → DICIEMBRE</t>
        </is>
      </c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</row>
    <row r="890">
      <c r="A890" s="19" t="inlineStr">
        <is>
          <t>Proyección DICIEMBRE</t>
        </is>
      </c>
      <c r="B890" s="20" t="n"/>
    </row>
    <row r="892" ht="14" customHeight="1"/>
    <row r="895" ht="24" customHeight="1">
      <c r="A895" s="21" t="inlineStr">
        <is>
          <t>RESUMEN ANUAL 2026</t>
        </is>
      </c>
    </row>
    <row r="896" ht="26" customHeight="1">
      <c r="A896" s="22" t="inlineStr">
        <is>
          <t>CONCEPTO</t>
        </is>
      </c>
      <c r="B896" s="22" t="inlineStr">
        <is>
          <t>ENE</t>
        </is>
      </c>
      <c r="C896" s="22" t="inlineStr">
        <is>
          <t>FEB</t>
        </is>
      </c>
      <c r="D896" s="22" t="inlineStr">
        <is>
          <t>MAR</t>
        </is>
      </c>
      <c r="E896" s="22" t="inlineStr">
        <is>
          <t>ABR</t>
        </is>
      </c>
      <c r="F896" s="22" t="inlineStr">
        <is>
          <t>MAY</t>
        </is>
      </c>
      <c r="G896" s="22" t="inlineStr">
        <is>
          <t>JUN</t>
        </is>
      </c>
      <c r="H896" s="22" t="inlineStr">
        <is>
          <t>JUL</t>
        </is>
      </c>
      <c r="I896" s="22" t="inlineStr">
        <is>
          <t>AGO</t>
        </is>
      </c>
      <c r="J896" s="22" t="inlineStr">
        <is>
          <t>SEP</t>
        </is>
      </c>
      <c r="K896" s="22" t="inlineStr">
        <is>
          <t>OCT</t>
        </is>
      </c>
      <c r="L896" s="22" t="inlineStr">
        <is>
          <t>NOV</t>
        </is>
      </c>
      <c r="M896" s="22" t="inlineStr">
        <is>
          <t>DIC</t>
        </is>
      </c>
      <c r="N896" s="22" t="inlineStr">
        <is>
          <t>TOTAL</t>
        </is>
      </c>
      <c r="O896" s="22" t="inlineStr">
        <is>
          <t>% PART.</t>
        </is>
      </c>
    </row>
    <row r="897" ht="18" customHeight="1">
      <c r="A897" s="23" t="inlineStr">
        <is>
          <t>COBRANZA CORRIENTE</t>
        </is>
      </c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</row>
    <row r="898" ht="18" customHeight="1">
      <c r="A898" s="25" t="inlineStr">
        <is>
          <t>CANCELACIONES</t>
        </is>
      </c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</row>
    <row r="899" ht="18" customHeight="1">
      <c r="A899" s="23" t="inlineStr">
        <is>
          <t>COBRANZA VENCIDA</t>
        </is>
      </c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</row>
    <row r="900" ht="18" customHeight="1">
      <c r="A900" s="25" t="inlineStr">
        <is>
          <t>COBRANZA EFECTIVA</t>
        </is>
      </c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</row>
    <row r="901" ht="18" customHeight="1">
      <c r="A901" s="23" t="inlineStr">
        <is>
          <t>COBRANZA RECUPERADA</t>
        </is>
      </c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</row>
    <row r="902" ht="18" customHeight="1">
      <c r="A902" s="25" t="inlineStr">
        <is>
          <t>COBRANZA TOTAL GENERAL</t>
        </is>
      </c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</row>
    <row r="903" ht="18" customHeight="1">
      <c r="A903" s="23" t="inlineStr">
        <is>
          <t>COBRANZA ADELANTADA F.</t>
        </is>
      </c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</row>
    <row r="904" ht="18" customHeight="1">
      <c r="A904" s="25" t="inlineStr">
        <is>
          <t>PROYECCIÓN</t>
        </is>
      </c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</row>
    <row r="907" ht="20" customHeight="1">
      <c r="A907" s="27" t="inlineStr">
        <is>
          <t>NOTAS Y LEYENDA</t>
        </is>
      </c>
    </row>
    <row r="908" ht="16" customHeight="1">
      <c r="A908" s="14" t="inlineStr">
        <is>
          <t>• Los totales de cada apartado se calculan sin filtrar por STATUS (suma completa del bloque).</t>
        </is>
      </c>
    </row>
    <row r="909" ht="16" customHeight="1">
      <c r="A909" s="14" t="inlineStr">
        <is>
          <t>• Top 5 por VENDEDOR: Cobranza Corriente, Cancelaciones.</t>
        </is>
      </c>
    </row>
    <row r="910" ht="16" customHeight="1">
      <c r="A910" s="14" t="inlineStr">
        <is>
          <t>• Top 5 por UBICACIÓN: Cobranza Vencida.</t>
        </is>
      </c>
    </row>
    <row r="911" ht="16" customHeight="1">
      <c r="A911" s="14" t="inlineStr">
        <is>
          <t>• Top 5 por COBRADO: Cobranza Efectiva, Recuperada, Adelantada F., Total General.</t>
        </is>
      </c>
    </row>
    <row r="912" ht="16" customHeight="1">
      <c r="A912" s="14" t="inlineStr">
        <is>
          <t>• Los montos de TRANSFERENCIAS / DEPÓSITOS se muestran consolidados como 'TRANSFER. / DEPTOS.' en Top 5.</t>
        </is>
      </c>
    </row>
    <row r="913" ht="16" customHeight="1">
      <c r="A913" s="14" t="inlineStr">
        <is>
          <t>• Proyección = estimación de cobranza para el mes siguiente basada en tendencia.</t>
        </is>
      </c>
    </row>
    <row r="914" ht="16" customHeight="1">
      <c r="A914" s="14" t="inlineStr">
        <is>
          <t>• Colores: Encabezados azul oscuro (#1F3C6E) | Acentos dorado (#C9A84C) | Filas alternadas.</t>
        </is>
      </c>
    </row>
  </sheetData>
  <mergeCells count="259">
    <mergeCell ref="A362:N362"/>
    <mergeCell ref="A913:N913"/>
    <mergeCell ref="B231:D231"/>
    <mergeCell ref="A39:N39"/>
    <mergeCell ref="A279:N279"/>
    <mergeCell ref="A48:N48"/>
    <mergeCell ref="A30:N30"/>
    <mergeCell ref="A819:N819"/>
    <mergeCell ref="A530:N530"/>
    <mergeCell ref="B157:D157"/>
    <mergeCell ref="A476:B476"/>
    <mergeCell ref="A539:N539"/>
    <mergeCell ref="A88:B88"/>
    <mergeCell ref="A162:B162"/>
    <mergeCell ref="A169:N169"/>
    <mergeCell ref="A346:B346"/>
    <mergeCell ref="A523:N523"/>
    <mergeCell ref="A355:B355"/>
    <mergeCell ref="A79:N79"/>
    <mergeCell ref="A821:N821"/>
    <mergeCell ref="A908:N908"/>
    <mergeCell ref="B230:D230"/>
    <mergeCell ref="A606:B606"/>
    <mergeCell ref="B890:F890"/>
    <mergeCell ref="A41:B41"/>
    <mergeCell ref="A153:N153"/>
    <mergeCell ref="A678:N678"/>
    <mergeCell ref="B84:D84"/>
    <mergeCell ref="A624:B624"/>
    <mergeCell ref="A687:N687"/>
    <mergeCell ref="A227:N227"/>
    <mergeCell ref="A871:N871"/>
    <mergeCell ref="B158:D158"/>
    <mergeCell ref="B594:F594"/>
    <mergeCell ref="A557:N557"/>
    <mergeCell ref="A236:B236"/>
    <mergeCell ref="A438:B438"/>
    <mergeCell ref="A503:B503"/>
    <mergeCell ref="A566:N566"/>
    <mergeCell ref="A512:B512"/>
    <mergeCell ref="A754:B754"/>
    <mergeCell ref="A577:B577"/>
    <mergeCell ref="B378:D378"/>
    <mergeCell ref="B527:D527"/>
    <mergeCell ref="B305:D305"/>
    <mergeCell ref="A828:B828"/>
    <mergeCell ref="B306:D306"/>
    <mergeCell ref="A716:B716"/>
    <mergeCell ref="B668:F668"/>
    <mergeCell ref="A725:B725"/>
    <mergeCell ref="A790:B790"/>
    <mergeCell ref="A234:N234"/>
    <mergeCell ref="A411:B411"/>
    <mergeCell ref="A131:N131"/>
    <mergeCell ref="A68:B68"/>
    <mergeCell ref="A371:N371"/>
    <mergeCell ref="A613:N613"/>
    <mergeCell ref="A696:N696"/>
    <mergeCell ref="A911:N911"/>
    <mergeCell ref="A889:N889"/>
    <mergeCell ref="B816:F816"/>
    <mergeCell ref="A705:N705"/>
    <mergeCell ref="A770:N770"/>
    <mergeCell ref="A155:N155"/>
    <mergeCell ref="A245:B245"/>
    <mergeCell ref="A308:N308"/>
    <mergeCell ref="A510:N510"/>
    <mergeCell ref="A391:N391"/>
    <mergeCell ref="A337:B337"/>
    <mergeCell ref="A229:N229"/>
    <mergeCell ref="A319:B319"/>
    <mergeCell ref="A344:N344"/>
    <mergeCell ref="A584:N584"/>
    <mergeCell ref="A400:N400"/>
    <mergeCell ref="A59:B59"/>
    <mergeCell ref="B224:F224"/>
    <mergeCell ref="A261:N261"/>
    <mergeCell ref="A142:B142"/>
    <mergeCell ref="A747:N747"/>
    <mergeCell ref="A270:N270"/>
    <mergeCell ref="A599:N599"/>
    <mergeCell ref="A912:N912"/>
    <mergeCell ref="A216:B216"/>
    <mergeCell ref="A458:B458"/>
    <mergeCell ref="A281:B281"/>
    <mergeCell ref="B82:D82"/>
    <mergeCell ref="A467:B467"/>
    <mergeCell ref="A797:N797"/>
    <mergeCell ref="A844:N844"/>
    <mergeCell ref="A532:B532"/>
    <mergeCell ref="A1:N1"/>
    <mergeCell ref="A741:N741"/>
    <mergeCell ref="B379:D379"/>
    <mergeCell ref="A548:N548"/>
    <mergeCell ref="A429:B429"/>
    <mergeCell ref="A427:N427"/>
    <mergeCell ref="B304:D304"/>
    <mergeCell ref="A205:N205"/>
    <mergeCell ref="A364:B364"/>
    <mergeCell ref="B602:D602"/>
    <mergeCell ref="A855:B855"/>
    <mergeCell ref="B83:D83"/>
    <mergeCell ref="A808:B808"/>
    <mergeCell ref="A864:B864"/>
    <mergeCell ref="A75:N75"/>
    <mergeCell ref="A910:N910"/>
    <mergeCell ref="A317:N317"/>
    <mergeCell ref="A326:N326"/>
    <mergeCell ref="A667:N667"/>
    <mergeCell ref="A272:B272"/>
    <mergeCell ref="A409:N409"/>
    <mergeCell ref="A3:N3"/>
    <mergeCell ref="A418:N418"/>
    <mergeCell ref="B446:F446"/>
    <mergeCell ref="A301:N301"/>
    <mergeCell ref="A586:B586"/>
    <mergeCell ref="A640:N640"/>
    <mergeCell ref="A745:N745"/>
    <mergeCell ref="B520:F520"/>
    <mergeCell ref="A21:N21"/>
    <mergeCell ref="A104:N104"/>
    <mergeCell ref="A297:N297"/>
    <mergeCell ref="A57:N57"/>
    <mergeCell ref="A113:N113"/>
    <mergeCell ref="A5:N5"/>
    <mergeCell ref="A604:N604"/>
    <mergeCell ref="A631:N631"/>
    <mergeCell ref="A303:N303"/>
    <mergeCell ref="B232:D232"/>
    <mergeCell ref="B372:F372"/>
    <mergeCell ref="A483:N483"/>
    <mergeCell ref="A660:B660"/>
    <mergeCell ref="A171:B171"/>
    <mergeCell ref="A180:B180"/>
    <mergeCell ref="A494:B494"/>
    <mergeCell ref="A597:N597"/>
    <mergeCell ref="B675:D675"/>
    <mergeCell ref="A436:N436"/>
    <mergeCell ref="A451:N451"/>
    <mergeCell ref="A115:B115"/>
    <mergeCell ref="B749:D749"/>
    <mergeCell ref="B76:F76"/>
    <mergeCell ref="A445:N445"/>
    <mergeCell ref="A633:B633"/>
    <mergeCell ref="A525:N525"/>
    <mergeCell ref="A761:N761"/>
    <mergeCell ref="A873:B873"/>
    <mergeCell ref="A642:B642"/>
    <mergeCell ref="B748:D748"/>
    <mergeCell ref="A382:N382"/>
    <mergeCell ref="A559:B559"/>
    <mergeCell ref="A328:B328"/>
    <mergeCell ref="A310:B310"/>
    <mergeCell ref="A568:B568"/>
    <mergeCell ref="A402:B402"/>
    <mergeCell ref="A732:N732"/>
    <mergeCell ref="B150:F150"/>
    <mergeCell ref="B452:D452"/>
    <mergeCell ref="A207:B207"/>
    <mergeCell ref="B750:D750"/>
    <mergeCell ref="A835:N835"/>
    <mergeCell ref="A781:B781"/>
    <mergeCell ref="B823:D823"/>
    <mergeCell ref="A492:N492"/>
    <mergeCell ref="A846:B846"/>
    <mergeCell ref="A909:N909"/>
    <mergeCell ref="A658:N658"/>
    <mergeCell ref="A187:N187"/>
    <mergeCell ref="A252:N252"/>
    <mergeCell ref="A133:B133"/>
    <mergeCell ref="A196:N196"/>
    <mergeCell ref="A914:N914"/>
    <mergeCell ref="A66:N66"/>
    <mergeCell ref="A149:N149"/>
    <mergeCell ref="A223:N223"/>
    <mergeCell ref="A465:N465"/>
    <mergeCell ref="A474:N474"/>
    <mergeCell ref="A2:N2"/>
    <mergeCell ref="A86:N86"/>
    <mergeCell ref="A32:B32"/>
    <mergeCell ref="A95:N95"/>
    <mergeCell ref="A449:N449"/>
    <mergeCell ref="A23:B23"/>
    <mergeCell ref="A160:N160"/>
    <mergeCell ref="A290:B290"/>
    <mergeCell ref="A106:B106"/>
    <mergeCell ref="B380:D380"/>
    <mergeCell ref="B156:D156"/>
    <mergeCell ref="A377:N377"/>
    <mergeCell ref="B454:D454"/>
    <mergeCell ref="A122:N122"/>
    <mergeCell ref="A880:N880"/>
    <mergeCell ref="A862:N862"/>
    <mergeCell ref="A815:N815"/>
    <mergeCell ref="A671:N671"/>
    <mergeCell ref="A81:N81"/>
    <mergeCell ref="B674:D674"/>
    <mergeCell ref="A907:N907"/>
    <mergeCell ref="B676:D676"/>
    <mergeCell ref="A680:B680"/>
    <mergeCell ref="A288:N288"/>
    <mergeCell ref="A673:N673"/>
    <mergeCell ref="B822:D822"/>
    <mergeCell ref="A615:B615"/>
    <mergeCell ref="A707:B707"/>
    <mergeCell ref="B601:D601"/>
    <mergeCell ref="A178:N178"/>
    <mergeCell ref="B824:D824"/>
    <mergeCell ref="A124:B124"/>
    <mergeCell ref="A837:B837"/>
    <mergeCell ref="A806:N806"/>
    <mergeCell ref="A485:B485"/>
    <mergeCell ref="A649:N649"/>
    <mergeCell ref="A501:N501"/>
    <mergeCell ref="A243:N243"/>
    <mergeCell ref="A189:B189"/>
    <mergeCell ref="A335:N335"/>
    <mergeCell ref="A519:N519"/>
    <mergeCell ref="A575:N575"/>
    <mergeCell ref="A198:B198"/>
    <mergeCell ref="A375:N375"/>
    <mergeCell ref="A689:B689"/>
    <mergeCell ref="A50:B50"/>
    <mergeCell ref="A698:B698"/>
    <mergeCell ref="A752:N752"/>
    <mergeCell ref="A763:B763"/>
    <mergeCell ref="B453:D453"/>
    <mergeCell ref="A772:B772"/>
    <mergeCell ref="A826:N826"/>
    <mergeCell ref="A214:N214"/>
    <mergeCell ref="A384:B384"/>
    <mergeCell ref="A456:N456"/>
    <mergeCell ref="A714:N714"/>
    <mergeCell ref="A151:B151"/>
    <mergeCell ref="A393:B393"/>
    <mergeCell ref="A723:N723"/>
    <mergeCell ref="A779:N779"/>
    <mergeCell ref="A254:B254"/>
    <mergeCell ref="B526:D526"/>
    <mergeCell ref="A651:B651"/>
    <mergeCell ref="A734:B734"/>
    <mergeCell ref="A263:B263"/>
    <mergeCell ref="B600:D600"/>
    <mergeCell ref="A788:N788"/>
    <mergeCell ref="B298:F298"/>
    <mergeCell ref="A97:B97"/>
    <mergeCell ref="A420:B420"/>
    <mergeCell ref="A895:N895"/>
    <mergeCell ref="A140:N140"/>
    <mergeCell ref="B528:D528"/>
    <mergeCell ref="A622:N622"/>
    <mergeCell ref="A853:N853"/>
    <mergeCell ref="B742:F742"/>
    <mergeCell ref="A799:B799"/>
    <mergeCell ref="A541:B541"/>
    <mergeCell ref="A882:B882"/>
    <mergeCell ref="A550:B550"/>
    <mergeCell ref="A593:N593"/>
    <mergeCell ref="A353:N35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2026-05-21T14:51:41Z</dcterms:created>
  <dcterms:modified xmlns:dcterms="http://purl.org/dc/terms/" xmlns:xsi="http://www.w3.org/2001/XMLSchema-instance" xsi:type="dcterms:W3CDTF">2026-05-21T22:05:03Z</dcterms:modified>
</cp:coreProperties>
</file>