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ÍA KPIs" sheetId="2" state="visible" r:id="rId2"/>
    <sheet xmlns:r="http://schemas.openxmlformats.org/officeDocument/2006/relationships" name="ESTADISTICA 2026" sheetId="3" state="visible" r:id="rId3"/>
  </sheets>
  <definedNames>
    <definedName name="_xlnm.Print_Titles" localSheetId="2">'ESTADISTICA 2026'!$1:$3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0.0%"/>
    <numFmt numFmtId="166" formatCode="$#,##0.00"/>
    <numFmt numFmtId="167" formatCode="$#,##0"/>
    <numFmt numFmtId="168" formatCode="0.0&quot;%&quot;"/>
  </numFmts>
  <fonts count="92">
    <font>
      <name val="Calibri"/>
      <family val="2"/>
      <color theme="1"/>
      <sz val="11"/>
      <scheme val="minor"/>
    </font>
    <font>
      <name val="Calibri"/>
      <b val="1"/>
      <color rgb="00C9A84C"/>
      <sz val="16"/>
    </font>
    <font>
      <name val="Calibri"/>
      <b val="1"/>
      <color rgb="00FFFFFF"/>
      <sz val="12"/>
    </font>
    <font>
      <name val="Calibri"/>
      <color rgb="00C9A84C"/>
      <sz val="11"/>
    </font>
    <font>
      <name val="Calibri"/>
      <b val="1"/>
      <color rgb="00C9A84C"/>
      <sz val="12"/>
    </font>
    <font>
      <name val="Calibri"/>
      <b val="1"/>
      <color rgb="001A1A1A"/>
      <sz val="9"/>
    </font>
    <font>
      <name val="Calibri"/>
      <b val="1"/>
      <color rgb="00C9A84C"/>
      <sz val="10"/>
    </font>
    <font>
      <name val="Calibri"/>
      <b val="1"/>
      <color rgb="00404040"/>
      <sz val="10"/>
    </font>
    <font>
      <name val="Calibri"/>
      <b val="1"/>
      <color rgb="001A1A1A"/>
      <sz val="10"/>
    </font>
    <font>
      <name val="Calibri"/>
      <color rgb="00404040"/>
      <sz val="10"/>
    </font>
    <font>
      <name val="Calibri"/>
      <b val="1"/>
      <color rgb="001A1A1A"/>
      <sz val="11"/>
    </font>
    <font>
      <name val="Calibri"/>
      <b val="1"/>
      <color rgb="00404040"/>
      <sz val="9"/>
    </font>
    <font>
      <name val="Calibri"/>
      <color rgb="00404040"/>
      <sz val="9"/>
    </font>
    <font>
      <name val="Calibri"/>
      <b val="1"/>
      <color rgb="00C9A84C"/>
      <sz val="13"/>
    </font>
    <font>
      <name val="Calibri"/>
      <b val="1"/>
      <color rgb="00FFFFFF"/>
      <sz val="9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i val="1"/>
      <color rgb="00375623"/>
      <sz val="9"/>
    </font>
    <font>
      <name val="Calibri"/>
      <b val="1"/>
      <color rgb="00C00000"/>
      <sz val="11"/>
    </font>
    <font>
      <name val="Calibri"/>
      <i val="1"/>
      <color rgb="00C00000"/>
      <sz val="9"/>
    </font>
    <font>
      <name val="Calibri"/>
      <b val="1"/>
      <color rgb="00FF8C00"/>
      <sz val="11"/>
    </font>
    <font>
      <name val="Calibri"/>
      <i val="1"/>
      <color rgb="00FF8C00"/>
      <sz val="9"/>
    </font>
    <font>
      <name val="Calibri"/>
      <b val="1"/>
      <color rgb="00F2F2F2"/>
      <sz val="11"/>
    </font>
    <font>
      <name val="Calibri"/>
      <i val="1"/>
      <color rgb="00F2F2F2"/>
      <sz val="9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C9A227"/>
      <sz val="20"/>
    </font>
    <font>
      <name val="Calibri"/>
      <b val="1"/>
      <color rgb="00FFFFFF"/>
      <sz val="13"/>
    </font>
    <font>
      <name val="Calibri"/>
      <b val="1"/>
      <color rgb="00FFD966"/>
      <sz val="11"/>
    </font>
    <font>
      <name val="Calibri"/>
      <b val="1"/>
      <color rgb="00000000"/>
      <sz val="15"/>
    </font>
    <font>
      <name val="Calibri"/>
      <i val="1"/>
      <color rgb="00808080"/>
      <sz val="8"/>
    </font>
    <font>
      <name val="Calibri"/>
      <b val="1"/>
      <color rgb="00C00000"/>
      <sz val="15"/>
    </font>
    <font>
      <name val="Calibri"/>
      <b val="1"/>
      <color rgb="00FF8C00"/>
      <sz val="15"/>
    </font>
    <font>
      <name val="Calibri"/>
      <b val="1"/>
      <color rgb="00375623"/>
      <sz val="15"/>
    </font>
    <font>
      <name val="Calibri"/>
      <b val="1"/>
      <color rgb="002E5FA3"/>
      <sz val="15"/>
    </font>
    <font>
      <name val="Calibri"/>
      <b val="1"/>
      <color rgb="00808080"/>
      <sz val="15"/>
    </font>
    <font>
      <name val="Calibri"/>
      <b val="1"/>
      <sz val="10"/>
    </font>
    <font>
      <name val="Calibri"/>
      <b val="1"/>
      <color rgb="00375623"/>
      <sz val="12"/>
    </font>
    <font>
      <name val="Calibri"/>
      <b val="1"/>
      <color rgb="00C00000"/>
      <sz val="12"/>
    </font>
    <font>
      <name val="Calibri"/>
      <b val="1"/>
      <color rgb="00FF8C00"/>
      <sz val="12"/>
    </font>
    <font>
      <name val="Calibri"/>
      <b val="1"/>
      <color rgb="00808080"/>
      <sz val="12"/>
    </font>
    <font>
      <name val="Calibri"/>
      <i val="1"/>
      <color rgb="00808080"/>
      <sz val="9"/>
    </font>
    <font>
      <name val="Calibri"/>
      <i val="1"/>
      <color rgb="00FFD966"/>
      <sz val="9"/>
    </font>
    <font>
      <name val="Calibri"/>
      <b val="1"/>
      <color rgb="00FFFFFF"/>
      <sz val="8"/>
    </font>
    <font>
      <name val="Calibri"/>
      <b val="1"/>
      <sz val="9"/>
    </font>
    <font>
      <name val="Calibri"/>
      <b val="1"/>
      <color rgb="001F3864"/>
      <sz val="9"/>
    </font>
    <font>
      <name val="Calibri"/>
      <sz val="9"/>
    </font>
    <font>
      <name val="Calibri"/>
      <sz val="10"/>
    </font>
    <font>
      <name val="Calibri"/>
      <color rgb="00FFD966"/>
      <sz val="8"/>
    </font>
    <font>
      <name val="Calibri"/>
      <i val="1"/>
      <color rgb="001F3864"/>
      <sz val="9"/>
    </font>
    <font>
      <name val="Calibri"/>
      <b val="1"/>
      <color rgb="002E5FA3"/>
      <sz val="12"/>
    </font>
    <font>
      <name val="Calibri"/>
      <i val="1"/>
      <color rgb="002E5FA3"/>
      <sz val="9"/>
    </font>
    <font>
      <name val="Calibri"/>
      <b val="1"/>
      <color rgb="00C9A227"/>
      <sz val="18"/>
    </font>
    <font>
      <name val="Calibri"/>
      <i val="1"/>
      <color rgb="00808080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color rgb="00808080"/>
      <sz val="8"/>
    </font>
    <font>
      <name val="Calibri"/>
      <b val="1"/>
      <color rgb="00000000"/>
      <sz val="14"/>
    </font>
    <font>
      <name val="Calibri"/>
      <b val="1"/>
      <color rgb="002E5FA3"/>
      <sz val="14"/>
    </font>
    <font>
      <name val="Calibri"/>
      <b val="1"/>
      <color rgb="00375623"/>
      <sz val="14"/>
    </font>
    <font>
      <name val="Calibri"/>
      <b val="1"/>
      <color rgb="00C00000"/>
      <sz val="14"/>
    </font>
    <font>
      <name val="Calibri"/>
      <b val="1"/>
      <color rgb="00FF8C00"/>
      <sz val="14"/>
    </font>
    <font>
      <name val="Calibri"/>
      <b val="1"/>
      <color rgb="00808080"/>
      <sz val="14"/>
    </font>
    <font>
      <b val="1"/>
      <color rgb="00FFFFFF"/>
      <sz val="10"/>
    </font>
    <font>
      <b val="1"/>
      <color rgb="00C9A227"/>
      <sz val="12"/>
    </font>
    <font>
      <b val="1"/>
      <color rgb="001F3864"/>
      <sz val="10"/>
    </font>
    <font>
      <b val="1"/>
      <color rgb="001F3864"/>
      <sz val="11"/>
    </font>
    <font>
      <b val="1"/>
      <color rgb="00000000"/>
      <sz val="9"/>
    </font>
    <font>
      <color rgb="00595959"/>
      <sz val="9"/>
    </font>
    <font>
      <color rgb="00000000"/>
      <sz val="10"/>
    </font>
    <font>
      <b val="1"/>
      <color rgb="002E5FA3"/>
      <sz val="10"/>
    </font>
    <font>
      <b val="1"/>
      <color rgb="00C9A227"/>
      <sz val="22"/>
    </font>
    <font>
      <b val="1"/>
      <color rgb="00FFFFFF"/>
      <sz val="14"/>
    </font>
    <font>
      <b val="1"/>
      <color rgb="00FFFFFF"/>
      <sz val="12"/>
    </font>
    <font>
      <b val="1"/>
      <color rgb="001F3864"/>
      <sz val="14"/>
    </font>
    <font>
      <b val="1"/>
      <color rgb="00FFFFFF"/>
      <sz val="11"/>
    </font>
    <font>
      <b val="1"/>
      <color rgb="001F3864"/>
      <sz val="20"/>
    </font>
    <font>
      <i val="1"/>
      <color rgb="00595959"/>
      <sz val="10"/>
    </font>
    <font>
      <sz val="10"/>
    </font>
    <font>
      <sz val="12"/>
    </font>
    <font>
      <color rgb="002E5FA3"/>
      <sz val="12"/>
    </font>
    <font>
      <i val="1"/>
      <color rgb="00595959"/>
      <sz val="9"/>
    </font>
    <font>
      <b val="1"/>
      <sz val="10"/>
    </font>
    <font>
      <b val="1"/>
      <sz val="12"/>
    </font>
    <font>
      <b val="1"/>
      <color rgb="002E5FA3"/>
      <sz val="12"/>
    </font>
    <font>
      <color theme="1"/>
    </font>
  </fonts>
  <fills count="31">
    <fill>
      <patternFill/>
    </fill>
    <fill>
      <patternFill patternType="gray125"/>
    </fill>
    <fill>
      <patternFill patternType="solid">
        <fgColor rgb="001F3C6E"/>
      </patternFill>
    </fill>
    <fill>
      <patternFill patternType="solid">
        <fgColor rgb="002E5090"/>
      </patternFill>
    </fill>
    <fill>
      <patternFill patternType="solid">
        <fgColor rgb="00C9A84C"/>
      </patternFill>
    </fill>
    <fill>
      <patternFill patternType="solid">
        <fgColor rgb="00D6E4F0"/>
      </patternFill>
    </fill>
    <fill>
      <patternFill patternType="solid">
        <fgColor rgb="00F5E6B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E2F0D9"/>
      </patternFill>
    </fill>
    <fill>
      <patternFill patternType="solid">
        <fgColor rgb="00FFE0E0"/>
      </patternFill>
    </fill>
    <fill>
      <patternFill patternType="solid">
        <fgColor rgb="00FFF0D0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FF8C00"/>
      </patternFill>
    </fill>
    <fill>
      <patternFill patternType="solid">
        <fgColor rgb="00375623"/>
      </patternFill>
    </fill>
    <fill>
      <patternFill patternType="solid">
        <fgColor rgb="00DAE8F7"/>
      </patternFill>
    </fill>
    <fill>
      <patternFill patternType="solid">
        <fgColor rgb="00808080"/>
      </patternFill>
    </fill>
    <fill>
      <patternFill patternType="solid">
        <fgColor rgb="00C9A227"/>
      </patternFill>
    </fill>
    <fill>
      <patternFill patternType="solid">
        <fgColor rgb="001F3864"/>
        <bgColor rgb="001F3864"/>
      </patternFill>
    </fill>
    <fill>
      <patternFill patternType="solid">
        <fgColor rgb="002E5FA3"/>
        <bgColor rgb="002E5FA3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375623"/>
        <bgColor rgb="00375623"/>
      </patternFill>
    </fill>
    <fill>
      <patternFill patternType="solid">
        <fgColor rgb="00DAE8F7"/>
        <bgColor rgb="00DAE8F7"/>
      </patternFill>
    </fill>
    <fill>
      <patternFill patternType="solid">
        <fgColor rgb="00E2F0D9"/>
        <bgColor rgb="00E2F0D9"/>
      </patternFill>
    </fill>
    <fill>
      <patternFill patternType="solid">
        <fgColor rgb="00F5F5F5"/>
        <bgColor rgb="00F5F5F5"/>
      </patternFill>
    </fill>
    <fill>
      <patternFill patternType="solid">
        <fgColor rgb="00D9D9D9"/>
        <bgColor rgb="00D9D9D9"/>
      </patternFill>
    </fill>
  </fills>
  <borders count="58">
    <border>
      <left/>
      <right/>
      <top/>
      <bottom/>
      <diagonal/>
    </border>
    <border>
      <bottom style="medium">
        <color rgb="00C9A84C"/>
      </bottom>
    </border>
    <border>
      <left/>
      <right/>
      <top/>
      <bottom style="medium">
        <color rgb="00C9A84C"/>
      </bottom>
      <diagonal/>
    </border>
    <border>
      <right/>
      <bottom style="medium">
        <color rgb="00C9A84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medium">
        <color rgb="00FF8C00"/>
      </left>
      <right style="medium">
        <color rgb="00FF8C00"/>
      </right>
      <top style="medium">
        <color rgb="00FF8C00"/>
      </top>
      <bottom style="medium">
        <color rgb="00FF8C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  <border>
      <left style="medium">
        <color rgb="002E5FA3"/>
      </left>
      <right style="medium">
        <color rgb="002E5FA3"/>
      </right>
      <top style="medium">
        <color rgb="002E5FA3"/>
      </top>
      <bottom style="medium">
        <color rgb="002E5FA3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thin">
        <color rgb="002E5FA3"/>
      </top>
      <bottom/>
      <diagonal/>
    </border>
    <border>
      <left/>
      <right style="thin">
        <color rgb="002E5FA3"/>
      </right>
      <top style="thin">
        <color rgb="002E5FA3"/>
      </top>
      <bottom/>
      <diagonal/>
    </border>
    <border>
      <left/>
      <right/>
      <top style="thin">
        <color rgb="002E5FA3"/>
      </top>
      <bottom style="thin">
        <color rgb="002E5FA3"/>
      </bottom>
      <diagonal/>
    </border>
    <border>
      <left/>
      <right style="thin">
        <color rgb="002E5FA3"/>
      </right>
      <top style="thin">
        <color rgb="002E5FA3"/>
      </top>
      <bottom style="thin">
        <color rgb="002E5FA3"/>
      </bottom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 style="thin">
        <color rgb="00FF8C00"/>
      </left>
      <right style="thin">
        <color rgb="00FF8C00"/>
      </right>
      <top style="thin">
        <color rgb="00FF8C00"/>
      </top>
      <bottom style="thin">
        <color rgb="00FF8C00"/>
      </bottom>
    </border>
    <border>
      <left style="thin">
        <color rgb="00375623"/>
      </left>
      <right style="thin">
        <color rgb="00375623"/>
      </right>
      <top style="thin">
        <color rgb="00375623"/>
      </top>
      <bottom style="thin">
        <color rgb="00375623"/>
      </bottom>
    </border>
    <border>
      <left/>
      <right/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 style="medium">
        <color rgb="00C9A227"/>
      </bottom>
      <diagonal/>
    </border>
    <border>
      <left/>
      <right/>
      <top style="medium">
        <color rgb="002E5FA3"/>
      </top>
      <bottom/>
      <diagonal/>
    </border>
    <border>
      <left/>
      <right style="medium">
        <color rgb="002E5FA3"/>
      </right>
      <top style="medium">
        <color rgb="002E5FA3"/>
      </top>
      <bottom/>
      <diagonal/>
    </border>
    <border>
      <left/>
      <right/>
      <top style="medium">
        <color rgb="002E5FA3"/>
      </top>
      <bottom style="medium">
        <color rgb="002E5FA3"/>
      </bottom>
      <diagonal/>
    </border>
    <border>
      <left/>
      <right style="medium">
        <color rgb="002E5FA3"/>
      </right>
      <top style="medium">
        <color rgb="002E5FA3"/>
      </top>
      <bottom style="medium">
        <color rgb="002E5FA3"/>
      </bottom>
      <diagonal/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/>
      <right/>
      <top style="medium">
        <color rgb="00C9A227"/>
      </top>
      <bottom style="medium">
        <color rgb="00C9A227"/>
      </bottom>
      <diagonal/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  <border>
      <left/>
      <right/>
      <top style="medium">
        <color rgb="00375623"/>
      </top>
      <bottom/>
      <diagonal/>
    </border>
    <border>
      <left/>
      <right style="medium">
        <color rgb="00375623"/>
      </right>
      <top style="medium">
        <color rgb="00375623"/>
      </top>
      <bottom/>
      <diagonal/>
    </border>
    <border>
      <left/>
      <right/>
      <top style="medium">
        <color rgb="00375623"/>
      </top>
      <bottom style="medium">
        <color rgb="00375623"/>
      </bottom>
      <diagonal/>
    </border>
    <border>
      <left/>
      <right style="medium">
        <color rgb="00375623"/>
      </right>
      <top style="medium">
        <color rgb="00375623"/>
      </top>
      <bottom style="medium">
        <color rgb="00375623"/>
      </bottom>
      <diagonal/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  <border>
      <left/>
      <right/>
      <top style="medium">
        <color rgb="00FF8C00"/>
      </top>
      <bottom/>
      <diagonal/>
    </border>
    <border>
      <left/>
      <right style="medium">
        <color rgb="00FF8C00"/>
      </right>
      <top style="medium">
        <color rgb="00FF8C00"/>
      </top>
      <bottom/>
      <diagonal/>
    </border>
    <border>
      <left/>
      <right/>
      <top style="medium">
        <color rgb="00FF8C00"/>
      </top>
      <bottom style="medium">
        <color rgb="00FF8C00"/>
      </bottom>
      <diagonal/>
    </border>
    <border>
      <left/>
      <right style="medium">
        <color rgb="00FF8C00"/>
      </right>
      <top style="medium">
        <color rgb="00FF8C00"/>
      </top>
      <bottom style="medium">
        <color rgb="00FF8C00"/>
      </bottom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0" fontId="12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164" fontId="15" fillId="5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165" fontId="12" fillId="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indent="1"/>
    </xf>
    <xf numFmtId="0" fontId="17" fillId="10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7" fillId="7" borderId="5" applyAlignment="1" pivotButton="0" quotePrefix="0" xfId="0">
      <alignment horizontal="left" vertical="center"/>
    </xf>
    <xf numFmtId="0" fontId="16" fillId="7" borderId="5" applyAlignment="1" pivotButton="0" quotePrefix="0" xfId="0">
      <alignment horizontal="left" vertical="center"/>
    </xf>
    <xf numFmtId="166" fontId="18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 indent="1"/>
    </xf>
    <xf numFmtId="0" fontId="16" fillId="9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4" fillId="11" borderId="10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164" fontId="22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165" fontId="12" fillId="7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24" fillId="13" borderId="5" applyAlignment="1" pivotButton="0" quotePrefix="0" xfId="0">
      <alignment horizontal="center" vertical="center"/>
    </xf>
    <xf numFmtId="164" fontId="25" fillId="13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164" fontId="12" fillId="7" borderId="5" applyAlignment="1" pivotButton="0" quotePrefix="0" xfId="0">
      <alignment horizontal="center" vertical="center"/>
    </xf>
    <xf numFmtId="167" fontId="21" fillId="7" borderId="5" applyAlignment="1" pivotButton="0" quotePrefix="0" xfId="0">
      <alignment horizontal="center" vertical="center"/>
    </xf>
    <xf numFmtId="0" fontId="28" fillId="7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left" vertical="center"/>
    </xf>
    <xf numFmtId="0" fontId="20" fillId="10" borderId="5" applyAlignment="1" pivotButton="0" quotePrefix="0" xfId="0">
      <alignment horizontal="left" vertical="center"/>
    </xf>
    <xf numFmtId="167" fontId="2" fillId="10" borderId="5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/>
    </xf>
    <xf numFmtId="0" fontId="30" fillId="10" borderId="5" applyAlignment="1" pivotButton="0" quotePrefix="0" xfId="0">
      <alignment horizontal="left" vertical="center"/>
    </xf>
    <xf numFmtId="0" fontId="0" fillId="8" borderId="0" pivotButton="0" quotePrefix="0" xfId="0"/>
    <xf numFmtId="0" fontId="20" fillId="9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164" fontId="15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167" fontId="31" fillId="8" borderId="5" applyAlignment="1" pivotButton="0" quotePrefix="0" xfId="0">
      <alignment horizontal="center" vertical="center"/>
    </xf>
    <xf numFmtId="165" fontId="31" fillId="8" borderId="5" applyAlignment="1" pivotButton="0" quotePrefix="0" xfId="0">
      <alignment horizontal="center" vertical="center"/>
    </xf>
    <xf numFmtId="165" fontId="16" fillId="8" borderId="5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7" fontId="31" fillId="7" borderId="5" applyAlignment="1" pivotButton="0" quotePrefix="0" xfId="0">
      <alignment horizontal="center" vertical="center"/>
    </xf>
    <xf numFmtId="165" fontId="31" fillId="7" borderId="5" applyAlignment="1" pivotButton="0" quotePrefix="0" xfId="0">
      <alignment horizontal="center" vertical="center"/>
    </xf>
    <xf numFmtId="165" fontId="16" fillId="7" borderId="5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indent="1"/>
    </xf>
    <xf numFmtId="0" fontId="0" fillId="8" borderId="5" pivotButton="0" quotePrefix="0" xfId="0"/>
    <xf numFmtId="0" fontId="16" fillId="9" borderId="4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0" applyAlignment="1" pivotButton="0" quotePrefix="0" xfId="0">
      <alignment horizontal="right" vertical="center"/>
    </xf>
    <xf numFmtId="0" fontId="19" fillId="9" borderId="15" applyAlignment="1" pivotButton="0" quotePrefix="0" xfId="0">
      <alignment horizontal="left" vertical="center"/>
    </xf>
    <xf numFmtId="0" fontId="14" fillId="1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35" fillId="15" borderId="16" applyAlignment="1" pivotButton="0" quotePrefix="0" xfId="0">
      <alignment horizontal="center" vertical="center"/>
    </xf>
    <xf numFmtId="0" fontId="37" fillId="13" borderId="17" applyAlignment="1" pivotButton="0" quotePrefix="0" xfId="0">
      <alignment horizontal="center" vertical="center"/>
    </xf>
    <xf numFmtId="0" fontId="38" fillId="14" borderId="18" applyAlignment="1" pivotButton="0" quotePrefix="0" xfId="0">
      <alignment horizontal="center" vertical="center"/>
    </xf>
    <xf numFmtId="0" fontId="39" fillId="12" borderId="19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14" fillId="21" borderId="0" applyAlignment="1" pivotButton="0" quotePrefix="0" xfId="0">
      <alignment horizontal="center" vertical="center"/>
    </xf>
    <xf numFmtId="0" fontId="40" fillId="19" borderId="20" applyAlignment="1" pivotButton="0" quotePrefix="0" xfId="0">
      <alignment horizontal="center" vertical="center"/>
    </xf>
    <xf numFmtId="0" fontId="41" fillId="8" borderId="21" applyAlignment="1" pivotButton="0" quotePrefix="0" xfId="0">
      <alignment horizontal="center" vertical="center"/>
    </xf>
    <xf numFmtId="0" fontId="35" fillId="9" borderId="15" applyAlignment="1" pivotButton="0" quotePrefix="0" xfId="0">
      <alignment horizontal="center" vertical="center"/>
    </xf>
    <xf numFmtId="0" fontId="36" fillId="19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17" fillId="11" borderId="10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0" fontId="14" fillId="10" borderId="26" applyAlignment="1" pivotButton="0" quotePrefix="0" xfId="0">
      <alignment horizontal="center" vertical="center"/>
    </xf>
    <xf numFmtId="0" fontId="42" fillId="12" borderId="5" applyAlignment="1" pivotButton="0" quotePrefix="0" xfId="0">
      <alignment horizontal="left" vertical="center"/>
    </xf>
    <xf numFmtId="0" fontId="43" fillId="12" borderId="5" applyAlignment="1" pivotButton="0" quotePrefix="0" xfId="0">
      <alignment horizontal="center" vertical="center"/>
    </xf>
    <xf numFmtId="0" fontId="42" fillId="13" borderId="5" applyAlignment="1" pivotButton="0" quotePrefix="0" xfId="0">
      <alignment horizontal="left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0" fontId="45" fillId="14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left" vertical="center"/>
    </xf>
    <xf numFmtId="167" fontId="21" fillId="8" borderId="5" applyAlignment="1" pivotButton="0" quotePrefix="0" xfId="0">
      <alignment horizontal="center" vertical="center"/>
    </xf>
    <xf numFmtId="0" fontId="46" fillId="8" borderId="5" applyAlignment="1" pivotButton="0" quotePrefix="0" xfId="0">
      <alignment horizontal="center" vertical="center"/>
    </xf>
    <xf numFmtId="0" fontId="47" fillId="8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0" fillId="10" borderId="26" pivotButton="0" quotePrefix="0" xfId="0"/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0" fontId="49" fillId="10" borderId="0" applyAlignment="1" pivotButton="0" quotePrefix="0" xfId="0">
      <alignment horizontal="center" vertical="center"/>
    </xf>
    <xf numFmtId="0" fontId="49" fillId="16" borderId="0" applyAlignment="1" pivotButton="0" quotePrefix="0" xfId="0">
      <alignment horizontal="center" vertical="center"/>
    </xf>
    <xf numFmtId="0" fontId="49" fillId="17" borderId="0" applyAlignment="1" pivotButton="0" quotePrefix="0" xfId="0">
      <alignment horizontal="center" vertical="center"/>
    </xf>
    <xf numFmtId="0" fontId="49" fillId="18" borderId="0" applyAlignment="1" pivotButton="0" quotePrefix="0" xfId="0">
      <alignment horizontal="center" vertical="center"/>
    </xf>
    <xf numFmtId="0" fontId="49" fillId="10" borderId="26" applyAlignment="1" pivotButton="0" quotePrefix="0" xfId="0">
      <alignment horizontal="center" vertical="center"/>
    </xf>
    <xf numFmtId="0" fontId="49" fillId="16" borderId="27" applyAlignment="1" pivotButton="0" quotePrefix="0" xfId="0">
      <alignment horizontal="center" vertical="center"/>
    </xf>
    <xf numFmtId="0" fontId="49" fillId="17" borderId="28" applyAlignment="1" pivotButton="0" quotePrefix="0" xfId="0">
      <alignment horizontal="center" vertical="center"/>
    </xf>
    <xf numFmtId="0" fontId="49" fillId="18" borderId="29" applyAlignment="1" pivotButton="0" quotePrefix="0" xfId="0">
      <alignment horizontal="center" vertical="center"/>
    </xf>
    <xf numFmtId="0" fontId="50" fillId="15" borderId="5" applyAlignment="1" pivotButton="0" quotePrefix="0" xfId="0">
      <alignment horizontal="center" vertical="center"/>
    </xf>
    <xf numFmtId="0" fontId="51" fillId="15" borderId="5" applyAlignment="1" pivotButton="0" quotePrefix="0" xfId="0">
      <alignment horizontal="center" vertical="center"/>
    </xf>
    <xf numFmtId="167" fontId="52" fillId="15" borderId="5" applyAlignment="1" pivotButton="0" quotePrefix="0" xfId="0">
      <alignment horizontal="center" vertical="center"/>
    </xf>
    <xf numFmtId="0" fontId="50" fillId="13" borderId="5" applyAlignment="1" pivotButton="0" quotePrefix="0" xfId="0">
      <alignment horizontal="center" vertical="center"/>
    </xf>
    <xf numFmtId="0" fontId="51" fillId="13" borderId="5" applyAlignment="1" pivotButton="0" quotePrefix="0" xfId="0">
      <alignment horizontal="center" vertical="center"/>
    </xf>
    <xf numFmtId="167" fontId="52" fillId="13" borderId="5" applyAlignment="1" pivotButton="0" quotePrefix="0" xfId="0">
      <alignment horizontal="center" vertical="center"/>
    </xf>
    <xf numFmtId="0" fontId="50" fillId="14" borderId="5" applyAlignment="1" pivotButton="0" quotePrefix="0" xfId="0">
      <alignment horizontal="center" vertical="center"/>
    </xf>
    <xf numFmtId="0" fontId="51" fillId="14" borderId="5" applyAlignment="1" pivotButton="0" quotePrefix="0" xfId="0">
      <alignment horizontal="center" vertical="center"/>
    </xf>
    <xf numFmtId="167" fontId="52" fillId="14" borderId="5" applyAlignment="1" pivotButton="0" quotePrefix="0" xfId="0">
      <alignment horizontal="center" vertical="center"/>
    </xf>
    <xf numFmtId="0" fontId="50" fillId="12" borderId="5" applyAlignment="1" pivotButton="0" quotePrefix="0" xfId="0">
      <alignment horizontal="center" vertical="center"/>
    </xf>
    <xf numFmtId="0" fontId="51" fillId="12" borderId="5" applyAlignment="1" pivotButton="0" quotePrefix="0" xfId="0">
      <alignment horizontal="center" vertical="center"/>
    </xf>
    <xf numFmtId="167" fontId="52" fillId="12" borderId="5" applyAlignment="1" pivotButton="0" quotePrefix="0" xfId="0">
      <alignment horizontal="center" vertical="center"/>
    </xf>
    <xf numFmtId="0" fontId="50" fillId="7" borderId="5" applyAlignment="1" pivotButton="0" quotePrefix="0" xfId="0">
      <alignment horizontal="center" vertical="center"/>
    </xf>
    <xf numFmtId="0" fontId="51" fillId="7" borderId="5" applyAlignment="1" pivotButton="0" quotePrefix="0" xfId="0">
      <alignment horizontal="center" vertical="center"/>
    </xf>
    <xf numFmtId="167" fontId="52" fillId="7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center" vertical="center"/>
    </xf>
    <xf numFmtId="167" fontId="53" fillId="8" borderId="5" applyAlignment="1" pivotButton="0" quotePrefix="0" xfId="0">
      <alignment horizontal="center" vertical="center"/>
    </xf>
    <xf numFmtId="0" fontId="47" fillId="8" borderId="0" applyAlignment="1" pivotButton="0" quotePrefix="0" xfId="0">
      <alignment horizontal="left" vertical="center"/>
    </xf>
    <xf numFmtId="0" fontId="54" fillId="10" borderId="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41" pivotButton="0" quotePrefix="0" xfId="0"/>
    <xf numFmtId="0" fontId="42" fillId="15" borderId="5" applyAlignment="1" pivotButton="0" quotePrefix="0" xfId="0">
      <alignment horizontal="left" vertical="center"/>
    </xf>
    <xf numFmtId="167" fontId="21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55" fillId="15" borderId="5" applyAlignment="1" pivotButton="0" quotePrefix="0" xfId="0">
      <alignment horizontal="left" vertical="center"/>
    </xf>
    <xf numFmtId="0" fontId="42" fillId="19" borderId="5" applyAlignment="1" pivotButton="0" quotePrefix="0" xfId="0">
      <alignment horizontal="left" vertical="center"/>
    </xf>
    <xf numFmtId="167" fontId="21" fillId="19" borderId="5" applyAlignment="1" pivotButton="0" quotePrefix="0" xfId="0">
      <alignment horizontal="center" vertical="center"/>
    </xf>
    <xf numFmtId="0" fontId="56" fillId="19" borderId="5" applyAlignment="1" pivotButton="0" quotePrefix="0" xfId="0">
      <alignment horizontal="center" vertical="center"/>
    </xf>
    <xf numFmtId="0" fontId="57" fillId="19" borderId="5" applyAlignment="1" pivotButton="0" quotePrefix="0" xfId="0">
      <alignment horizontal="left" vertical="center"/>
    </xf>
    <xf numFmtId="0" fontId="42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0" fontId="43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0" fontId="42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45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164" fontId="18" fillId="15" borderId="5" applyAlignment="1" pivotButton="0" quotePrefix="0" xfId="0">
      <alignment horizontal="center" vertical="center"/>
    </xf>
    <xf numFmtId="164" fontId="57" fillId="19" borderId="5" applyAlignment="1" pivotButton="0" quotePrefix="0" xfId="0">
      <alignment horizontal="left" vertical="center"/>
    </xf>
    <xf numFmtId="0" fontId="58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59" fillId="8" borderId="0" applyAlignment="1" pivotButton="0" quotePrefix="0" xfId="0">
      <alignment horizontal="left" vertical="center" wrapText="1"/>
    </xf>
    <xf numFmtId="0" fontId="20" fillId="10" borderId="26" applyAlignment="1" pivotButton="0" quotePrefix="0" xfId="0">
      <alignment horizontal="center" vertical="center"/>
    </xf>
    <xf numFmtId="0" fontId="60" fillId="15" borderId="5" applyAlignment="1" pivotButton="0" quotePrefix="0" xfId="0">
      <alignment horizontal="left" vertical="center" wrapText="1"/>
    </xf>
    <xf numFmtId="0" fontId="22" fillId="15" borderId="5" applyAlignment="1" pivotButton="0" quotePrefix="0" xfId="0">
      <alignment horizontal="center" vertical="center"/>
    </xf>
    <xf numFmtId="0" fontId="61" fillId="15" borderId="5" applyAlignment="1" pivotButton="0" quotePrefix="0" xfId="0">
      <alignment horizontal="left" vertical="center" wrapText="1"/>
    </xf>
    <xf numFmtId="0" fontId="62" fillId="15" borderId="5" applyAlignment="1" pivotButton="0" quotePrefix="0" xfId="0">
      <alignment horizontal="left" vertical="center" wrapText="1"/>
    </xf>
    <xf numFmtId="0" fontId="60" fillId="7" borderId="5" applyAlignment="1" pivotButton="0" quotePrefix="0" xfId="0">
      <alignment horizontal="left" vertical="center" wrapText="1"/>
    </xf>
    <xf numFmtId="0" fontId="22" fillId="7" borderId="5" applyAlignment="1" pivotButton="0" quotePrefix="0" xfId="0">
      <alignment horizontal="center" vertical="center"/>
    </xf>
    <xf numFmtId="0" fontId="61" fillId="7" borderId="5" applyAlignment="1" pivotButton="0" quotePrefix="0" xfId="0">
      <alignment horizontal="left" vertical="center" wrapText="1"/>
    </xf>
    <xf numFmtId="0" fontId="62" fillId="7" borderId="5" applyAlignment="1" pivotButton="0" quotePrefix="0" xfId="0">
      <alignment horizontal="left" vertical="center" wrapText="1"/>
    </xf>
    <xf numFmtId="0" fontId="47" fillId="8" borderId="0" applyAlignment="1" pivotButton="0" quotePrefix="0" xfId="0">
      <alignment horizontal="left" vertical="center" wrapText="1"/>
    </xf>
    <xf numFmtId="0" fontId="54" fillId="10" borderId="0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1" borderId="5" applyAlignment="1" pivotButton="0" quotePrefix="0" xfId="0">
      <alignment horizontal="center" vertical="center"/>
    </xf>
    <xf numFmtId="0" fontId="14" fillId="18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63" fillId="15" borderId="16" applyAlignment="1" pivotButton="0" quotePrefix="0" xfId="0">
      <alignment horizontal="center" vertical="center"/>
    </xf>
    <xf numFmtId="0" fontId="64" fillId="19" borderId="20" applyAlignment="1" pivotButton="0" quotePrefix="0" xfId="0">
      <alignment horizontal="center" vertical="center"/>
    </xf>
    <xf numFmtId="0" fontId="65" fillId="12" borderId="19" applyAlignment="1" pivotButton="0" quotePrefix="0" xfId="0">
      <alignment horizontal="center" vertical="center"/>
    </xf>
    <xf numFmtId="0" fontId="66" fillId="13" borderId="17" applyAlignment="1" pivotButton="0" quotePrefix="0" xfId="0">
      <alignment horizontal="center" vertical="center"/>
    </xf>
    <xf numFmtId="0" fontId="36" fillId="15" borderId="5" applyAlignment="1" pivotButton="0" quotePrefix="0" xfId="0">
      <alignment horizontal="center" vertical="center"/>
    </xf>
    <xf numFmtId="0" fontId="36" fillId="19" borderId="5" applyAlignment="1" pivotButton="0" quotePrefix="0" xfId="0">
      <alignment horizontal="center" vertical="center"/>
    </xf>
    <xf numFmtId="0" fontId="36" fillId="12" borderId="5" applyAlignment="1" pivotButton="0" quotePrefix="0" xfId="0">
      <alignment horizontal="center" vertical="center"/>
    </xf>
    <xf numFmtId="0" fontId="36" fillId="13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14" fillId="20" borderId="5" applyAlignment="1" pivotButton="0" quotePrefix="0" xfId="0">
      <alignment horizontal="center" vertical="center"/>
    </xf>
    <xf numFmtId="0" fontId="14" fillId="21" borderId="5" applyAlignment="1" pivotButton="0" quotePrefix="0" xfId="0">
      <alignment horizontal="center" vertical="center"/>
    </xf>
    <xf numFmtId="0" fontId="67" fillId="14" borderId="18" applyAlignment="1" pivotButton="0" quotePrefix="0" xfId="0">
      <alignment horizontal="center" vertical="center"/>
    </xf>
    <xf numFmtId="0" fontId="68" fillId="8" borderId="21" applyAlignment="1" pivotButton="0" quotePrefix="0" xfId="0">
      <alignment horizontal="center" vertical="center"/>
    </xf>
    <xf numFmtId="0" fontId="63" fillId="9" borderId="15" applyAlignment="1" pivotButton="0" quotePrefix="0" xfId="0">
      <alignment horizontal="center" vertical="center"/>
    </xf>
    <xf numFmtId="0" fontId="36" fillId="14" borderId="5" applyAlignment="1" pivotButton="0" quotePrefix="0" xfId="0">
      <alignment horizontal="center" vertical="center"/>
    </xf>
    <xf numFmtId="0" fontId="36" fillId="8" borderId="5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0" fillId="10" borderId="5" pivotButton="0" quotePrefix="0" xfId="0"/>
    <xf numFmtId="0" fontId="17" fillId="7" borderId="5" applyAlignment="1" pivotButton="0" quotePrefix="0" xfId="0">
      <alignment horizontal="left" vertical="center"/>
    </xf>
    <xf numFmtId="0" fontId="20" fillId="8" borderId="5" applyAlignment="1" pivotButton="0" quotePrefix="0" xfId="0">
      <alignment horizontal="left" vertical="center"/>
    </xf>
    <xf numFmtId="0" fontId="14" fillId="8" borderId="10" applyAlignment="1" pivotButton="0" quotePrefix="0" xfId="0">
      <alignment horizontal="center" vertical="center"/>
    </xf>
    <xf numFmtId="0" fontId="12" fillId="8" borderId="5" applyAlignment="1" pivotButton="0" quotePrefix="0" xfId="0">
      <alignment horizontal="center" vertical="center"/>
    </xf>
    <xf numFmtId="164" fontId="18" fillId="8" borderId="5" applyAlignment="1" pivotButton="0" quotePrefix="0" xfId="0">
      <alignment horizontal="center" vertical="center"/>
    </xf>
    <xf numFmtId="0" fontId="55" fillId="8" borderId="5" applyAlignment="1" pivotButton="0" quotePrefix="0" xfId="0">
      <alignment horizontal="left" vertical="center"/>
    </xf>
    <xf numFmtId="165" fontId="12" fillId="8" borderId="5" applyAlignment="1" pivotButton="0" quotePrefix="0" xfId="0">
      <alignment horizontal="center" vertical="center"/>
    </xf>
    <xf numFmtId="0" fontId="56" fillId="8" borderId="5" applyAlignment="1" pivotButton="0" quotePrefix="0" xfId="0">
      <alignment horizontal="center" vertical="center"/>
    </xf>
    <xf numFmtId="164" fontId="57" fillId="8" borderId="5" applyAlignment="1" pivotButton="0" quotePrefix="0" xfId="0">
      <alignment horizontal="left" vertical="center"/>
    </xf>
    <xf numFmtId="0" fontId="43" fillId="8" borderId="5" applyAlignment="1" pivotButton="0" quotePrefix="0" xfId="0">
      <alignment horizontal="center" vertical="center"/>
    </xf>
    <xf numFmtId="0" fontId="23" fillId="8" borderId="5" applyAlignment="1" pivotButton="0" quotePrefix="0" xfId="0">
      <alignment horizontal="left" vertical="center"/>
    </xf>
    <xf numFmtId="164" fontId="12" fillId="8" borderId="5" applyAlignment="1" pivotButton="0" quotePrefix="0" xfId="0">
      <alignment horizontal="center" vertical="center"/>
    </xf>
    <xf numFmtId="0" fontId="44" fillId="8" borderId="5" applyAlignment="1" pivotButton="0" quotePrefix="0" xfId="0">
      <alignment horizontal="center" vertical="center"/>
    </xf>
    <xf numFmtId="0" fontId="25" fillId="8" borderId="5" applyAlignment="1" pivotButton="0" quotePrefix="0" xfId="0">
      <alignment horizontal="left" vertical="center"/>
    </xf>
    <xf numFmtId="0" fontId="45" fillId="8" borderId="5" applyAlignment="1" pivotButton="0" quotePrefix="0" xfId="0">
      <alignment horizontal="center" vertical="center"/>
    </xf>
    <xf numFmtId="0" fontId="27" fillId="8" borderId="5" applyAlignment="1" pivotButton="0" quotePrefix="0" xfId="0">
      <alignment horizontal="left" vertical="center"/>
    </xf>
    <xf numFmtId="0" fontId="17" fillId="8" borderId="26" applyAlignment="1" pivotButton="0" quotePrefix="0" xfId="0">
      <alignment horizontal="left" vertical="center"/>
    </xf>
    <xf numFmtId="167" fontId="2" fillId="8" borderId="26" applyAlignment="1" pivotButton="0" quotePrefix="0" xfId="0">
      <alignment horizontal="center" vertical="center"/>
    </xf>
    <xf numFmtId="0" fontId="0" fillId="8" borderId="26" pivotButton="0" quotePrefix="0" xfId="0"/>
    <xf numFmtId="0" fontId="2" fillId="8" borderId="26" applyAlignment="1" pivotButton="0" quotePrefix="0" xfId="0">
      <alignment horizontal="center" vertical="center"/>
    </xf>
    <xf numFmtId="0" fontId="48" fillId="8" borderId="26" applyAlignment="1" pivotButton="0" quotePrefix="0" xfId="0">
      <alignment horizontal="left" vertical="center"/>
    </xf>
    <xf numFmtId="167" fontId="18" fillId="7" borderId="5" applyAlignment="1" pivotButton="0" quotePrefix="0" xfId="0">
      <alignment horizontal="center" vertical="center"/>
    </xf>
    <xf numFmtId="167" fontId="15" fillId="5" borderId="0" applyAlignment="1" pivotButton="0" quotePrefix="0" xfId="0">
      <alignment horizontal="center" vertical="center"/>
    </xf>
    <xf numFmtId="167" fontId="15" fillId="8" borderId="0" applyAlignment="1" pivotButton="0" quotePrefix="0" xfId="0">
      <alignment horizontal="center" vertical="center"/>
    </xf>
    <xf numFmtId="167" fontId="15" fillId="6" borderId="0" applyAlignment="1" pivotButton="0" quotePrefix="0" xfId="0">
      <alignment horizontal="center" vertical="center"/>
    </xf>
    <xf numFmtId="168" fontId="36" fillId="15" borderId="5" applyAlignment="1" pivotButton="0" quotePrefix="0" xfId="0">
      <alignment horizontal="center" vertical="center"/>
    </xf>
    <xf numFmtId="165" fontId="36" fillId="19" borderId="5" applyAlignment="1" pivotButton="0" quotePrefix="0" xfId="0">
      <alignment horizontal="center" vertical="center"/>
    </xf>
    <xf numFmtId="165" fontId="36" fillId="12" borderId="5" applyAlignment="1" pivotButton="0" quotePrefix="0" xfId="0">
      <alignment horizontal="center" vertical="center"/>
    </xf>
    <xf numFmtId="165" fontId="36" fillId="13" borderId="5" applyAlignment="1" pivotButton="0" quotePrefix="0" xfId="0">
      <alignment horizontal="center" vertical="center"/>
    </xf>
    <xf numFmtId="165" fontId="36" fillId="14" borderId="5" applyAlignment="1" pivotButton="0" quotePrefix="0" xfId="0">
      <alignment horizontal="center" vertical="center"/>
    </xf>
    <xf numFmtId="165" fontId="36" fillId="8" borderId="5" applyAlignment="1" pivotButton="0" quotePrefix="0" xfId="0">
      <alignment horizontal="center" vertical="center"/>
    </xf>
    <xf numFmtId="165" fontId="36" fillId="9" borderId="5" applyAlignment="1" pivotButton="0" quotePrefix="0" xfId="0">
      <alignment horizontal="center" vertical="center"/>
    </xf>
    <xf numFmtId="165" fontId="18" fillId="15" borderId="5" applyAlignment="1" pivotButton="0" quotePrefix="0" xfId="0">
      <alignment horizontal="center" vertical="center"/>
    </xf>
    <xf numFmtId="165" fontId="56" fillId="19" borderId="5" applyAlignment="1" pivotButton="0" quotePrefix="0" xfId="0">
      <alignment horizontal="center" vertical="center"/>
    </xf>
    <xf numFmtId="165" fontId="43" fillId="12" borderId="5" applyAlignment="1" pivotButton="0" quotePrefix="0" xfId="0">
      <alignment horizontal="center" vertical="center"/>
    </xf>
    <xf numFmtId="165" fontId="44" fillId="13" borderId="5" applyAlignment="1" pivotButton="0" quotePrefix="0" xfId="0">
      <alignment horizontal="center" vertical="center"/>
    </xf>
    <xf numFmtId="165" fontId="45" fillId="14" borderId="5" applyAlignment="1" pivotButton="0" quotePrefix="0" xfId="0">
      <alignment horizontal="center" vertical="center"/>
    </xf>
    <xf numFmtId="165" fontId="2" fillId="10" borderId="26" applyAlignment="1" pivotButton="0" quotePrefix="0" xfId="0">
      <alignment horizontal="center" vertical="center"/>
    </xf>
    <xf numFmtId="0" fontId="70" fillId="22" borderId="0" applyAlignment="1" pivotButton="0" quotePrefix="0" xfId="0">
      <alignment horizontal="center" vertical="center"/>
    </xf>
    <xf numFmtId="0" fontId="71" fillId="25" borderId="0" applyAlignment="1" pivotButton="0" quotePrefix="0" xfId="0">
      <alignment horizontal="left" vertical="center"/>
    </xf>
    <xf numFmtId="0" fontId="71" fillId="25" borderId="3" applyAlignment="1" pivotButton="0" quotePrefix="0" xfId="0">
      <alignment horizontal="left" vertical="center"/>
    </xf>
    <xf numFmtId="0" fontId="69" fillId="23" borderId="3" applyAlignment="1" pivotButton="0" quotePrefix="0" xfId="0">
      <alignment horizontal="left" vertical="center"/>
    </xf>
    <xf numFmtId="0" fontId="71" fillId="24" borderId="0" applyAlignment="1" pivotButton="0" quotePrefix="0" xfId="0">
      <alignment horizontal="left" vertical="center"/>
    </xf>
    <xf numFmtId="167" fontId="72" fillId="24" borderId="0" applyAlignment="1" pivotButton="0" quotePrefix="0" xfId="0">
      <alignment horizontal="right" vertical="center"/>
    </xf>
    <xf numFmtId="0" fontId="73" fillId="25" borderId="0" applyAlignment="1" pivotButton="0" quotePrefix="0" xfId="0">
      <alignment horizontal="left" vertical="center"/>
    </xf>
    <xf numFmtId="0" fontId="73" fillId="25" borderId="0" applyAlignment="1" pivotButton="0" quotePrefix="0" xfId="0">
      <alignment horizontal="center" vertical="center"/>
    </xf>
    <xf numFmtId="0" fontId="74" fillId="25" borderId="0" applyAlignment="1" pivotButton="0" quotePrefix="0" xfId="0">
      <alignment horizontal="left" vertical="center"/>
    </xf>
    <xf numFmtId="167" fontId="75" fillId="7" borderId="0" applyAlignment="1" pivotButton="0" quotePrefix="0" xfId="0">
      <alignment horizontal="right" vertical="center"/>
    </xf>
    <xf numFmtId="0" fontId="76" fillId="7" borderId="0" applyAlignment="1" pivotButton="0" quotePrefix="0" xfId="0">
      <alignment horizontal="center" vertical="center"/>
    </xf>
    <xf numFmtId="0" fontId="69" fillId="22" borderId="0" applyAlignment="1" pivotButton="0" quotePrefix="0" xfId="0">
      <alignment horizontal="center" vertical="center"/>
    </xf>
    <xf numFmtId="0" fontId="77" fillId="10" borderId="0" applyAlignment="1" pivotButton="0" quotePrefix="0" xfId="0">
      <alignment horizontal="left" vertical="center"/>
    </xf>
    <xf numFmtId="0" fontId="78" fillId="11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9" fillId="11" borderId="0" applyAlignment="1" pivotButton="0" quotePrefix="0" xfId="0">
      <alignment horizontal="right" vertical="center"/>
    </xf>
    <xf numFmtId="0" fontId="80" fillId="9" borderId="15" applyAlignment="1" pivotButton="0" quotePrefix="0" xfId="0">
      <alignment horizontal="left" vertical="center"/>
    </xf>
    <xf numFmtId="0" fontId="81" fillId="10" borderId="5" applyAlignment="1" pivotButton="0" quotePrefix="0" xfId="0">
      <alignment horizontal="center" vertical="center" wrapText="1"/>
    </xf>
    <xf numFmtId="0" fontId="81" fillId="11" borderId="5" applyAlignment="1" pivotButton="0" quotePrefix="0" xfId="0">
      <alignment horizontal="center" vertical="center" wrapText="1"/>
    </xf>
    <xf numFmtId="0" fontId="81" fillId="18" borderId="5" applyAlignment="1" pivotButton="0" quotePrefix="0" xfId="0">
      <alignment horizontal="center" vertical="center" wrapText="1"/>
    </xf>
    <xf numFmtId="167" fontId="82" fillId="15" borderId="16" applyAlignment="1" pivotButton="0" quotePrefix="0" xfId="0">
      <alignment horizontal="center" vertical="center"/>
    </xf>
    <xf numFmtId="167" fontId="82" fillId="19" borderId="20" applyAlignment="1" pivotButton="0" quotePrefix="0" xfId="0">
      <alignment horizontal="center" vertical="center"/>
    </xf>
    <xf numFmtId="167" fontId="82" fillId="12" borderId="19" applyAlignment="1" pivotButton="0" quotePrefix="0" xfId="0">
      <alignment horizontal="center" vertical="center"/>
    </xf>
    <xf numFmtId="168" fontId="83" fillId="15" borderId="5" applyAlignment="1" pivotButton="0" quotePrefix="0" xfId="0">
      <alignment horizontal="center" vertical="center"/>
    </xf>
    <xf numFmtId="165" fontId="83" fillId="19" borderId="5" applyAlignment="1" pivotButton="0" quotePrefix="0" xfId="0">
      <alignment horizontal="center" vertical="center"/>
    </xf>
    <xf numFmtId="165" fontId="83" fillId="12" borderId="5" applyAlignment="1" pivotButton="0" quotePrefix="0" xfId="0">
      <alignment horizontal="center" vertical="center"/>
    </xf>
    <xf numFmtId="0" fontId="69" fillId="23" borderId="5" applyAlignment="1" pivotButton="0" quotePrefix="0" xfId="0">
      <alignment horizontal="center" vertical="center"/>
    </xf>
    <xf numFmtId="0" fontId="69" fillId="26" borderId="5" applyAlignment="1" pivotButton="0" quotePrefix="0" xfId="0">
      <alignment horizontal="center" vertical="center"/>
    </xf>
    <xf numFmtId="0" fontId="69" fillId="23" borderId="16" applyAlignment="1" pivotButton="0" quotePrefix="0" xfId="0">
      <alignment horizontal="center" vertical="center"/>
    </xf>
    <xf numFmtId="0" fontId="69" fillId="23" borderId="18" applyAlignment="1" pivotButton="0" quotePrefix="0" xfId="0">
      <alignment horizontal="center" vertical="center"/>
    </xf>
    <xf numFmtId="0" fontId="69" fillId="26" borderId="21" applyAlignment="1" pivotButton="0" quotePrefix="0" xfId="0">
      <alignment horizontal="center" vertical="center"/>
    </xf>
    <xf numFmtId="165" fontId="69" fillId="23" borderId="5" applyAlignment="1" pivotButton="0" quotePrefix="0" xfId="0">
      <alignment horizontal="center" vertical="center"/>
    </xf>
    <xf numFmtId="165" fontId="69" fillId="26" borderId="5" applyAlignment="1" pivotButton="0" quotePrefix="0" xfId="0">
      <alignment horizontal="center" vertical="center"/>
    </xf>
    <xf numFmtId="0" fontId="79" fillId="22" borderId="10" applyAlignment="1" pivotButton="0" quotePrefix="0" xfId="0">
      <alignment horizontal="left" vertical="center"/>
    </xf>
    <xf numFmtId="0" fontId="69" fillId="23" borderId="26" applyAlignment="1" pivotButton="0" quotePrefix="0" xfId="0">
      <alignment horizontal="center" vertical="center"/>
    </xf>
    <xf numFmtId="0" fontId="84" fillId="24" borderId="5" applyAlignment="1" pivotButton="0" quotePrefix="0" xfId="0">
      <alignment horizontal="left" vertical="center"/>
    </xf>
    <xf numFmtId="167" fontId="85" fillId="24" borderId="5" applyAlignment="1" pivotButton="0" quotePrefix="0" xfId="0">
      <alignment horizontal="right" vertical="center"/>
    </xf>
    <xf numFmtId="165" fontId="86" fillId="24" borderId="5" applyAlignment="1" pivotButton="0" quotePrefix="0" xfId="0">
      <alignment horizontal="center" vertical="center"/>
    </xf>
    <xf numFmtId="0" fontId="87" fillId="24" borderId="5" applyAlignment="1" pivotButton="0" quotePrefix="0" xfId="0">
      <alignment horizontal="left" vertical="center"/>
    </xf>
    <xf numFmtId="0" fontId="84" fillId="27" borderId="5" applyAlignment="1" pivotButton="0" quotePrefix="0" xfId="0">
      <alignment horizontal="left" vertical="center"/>
    </xf>
    <xf numFmtId="167" fontId="85" fillId="27" borderId="5" applyAlignment="1" pivotButton="0" quotePrefix="0" xfId="0">
      <alignment horizontal="right" vertical="center"/>
    </xf>
    <xf numFmtId="165" fontId="86" fillId="27" borderId="5" applyAlignment="1" pivotButton="0" quotePrefix="0" xfId="0">
      <alignment horizontal="center" vertical="center"/>
    </xf>
    <xf numFmtId="0" fontId="87" fillId="27" borderId="5" applyAlignment="1" pivotButton="0" quotePrefix="0" xfId="0">
      <alignment horizontal="left" vertical="center"/>
    </xf>
    <xf numFmtId="0" fontId="84" fillId="28" borderId="5" applyAlignment="1" pivotButton="0" quotePrefix="0" xfId="0">
      <alignment horizontal="left" vertical="center"/>
    </xf>
    <xf numFmtId="167" fontId="85" fillId="28" borderId="5" applyAlignment="1" pivotButton="0" quotePrefix="0" xfId="0">
      <alignment horizontal="right" vertical="center"/>
    </xf>
    <xf numFmtId="165" fontId="86" fillId="28" borderId="5" applyAlignment="1" pivotButton="0" quotePrefix="0" xfId="0">
      <alignment horizontal="center" vertical="center"/>
    </xf>
    <xf numFmtId="0" fontId="87" fillId="28" borderId="5" applyAlignment="1" pivotButton="0" quotePrefix="0" xfId="0">
      <alignment horizontal="left" vertical="center"/>
    </xf>
    <xf numFmtId="0" fontId="84" fillId="29" borderId="5" applyAlignment="1" pivotButton="0" quotePrefix="0" xfId="0">
      <alignment horizontal="left" vertical="center"/>
    </xf>
    <xf numFmtId="167" fontId="85" fillId="29" borderId="5" applyAlignment="1" pivotButton="0" quotePrefix="0" xfId="0">
      <alignment horizontal="right" vertical="center"/>
    </xf>
    <xf numFmtId="165" fontId="86" fillId="29" borderId="5" applyAlignment="1" pivotButton="0" quotePrefix="0" xfId="0">
      <alignment horizontal="center" vertical="center"/>
    </xf>
    <xf numFmtId="0" fontId="87" fillId="29" borderId="5" applyAlignment="1" pivotButton="0" quotePrefix="0" xfId="0">
      <alignment horizontal="left" vertical="center"/>
    </xf>
    <xf numFmtId="0" fontId="88" fillId="30" borderId="26" applyAlignment="1" pivotButton="0" quotePrefix="0" xfId="0">
      <alignment horizontal="left" vertical="center"/>
    </xf>
    <xf numFmtId="167" fontId="89" fillId="30" borderId="26" applyAlignment="1" pivotButton="0" quotePrefix="0" xfId="0">
      <alignment horizontal="right" vertical="center"/>
    </xf>
    <xf numFmtId="165" fontId="90" fillId="30" borderId="26" applyAlignment="1" pivotButton="0" quotePrefix="0" xfId="0">
      <alignment horizontal="center" vertical="center"/>
    </xf>
    <xf numFmtId="0" fontId="87" fillId="30" borderId="26" applyAlignment="1" pivotButton="0" quotePrefix="0" xfId="0">
      <alignment horizontal="left" vertical="center"/>
    </xf>
    <xf numFmtId="0" fontId="91" fillId="0" borderId="0" applyAlignment="1" pivotButton="0" quotePrefix="0" xfId="0">
      <alignment horizontal="left" vertical="center"/>
    </xf>
    <xf numFmtId="0" fontId="9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</cols>
  <sheetData>
    <row r="1" ht="48" customHeight="1">
      <c r="A1" s="289" t="inlineStr">
        <is>
          <t>PROTEG-RT MUTUALIDAD</t>
        </is>
      </c>
    </row>
    <row r="2" ht="32" customHeight="1">
      <c r="A2" s="290" t="inlineStr">
        <is>
          <t>DASHBOARD — REPORTE DE COBRANZA JUNTA MENSUAL</t>
        </is>
      </c>
    </row>
    <row r="3" ht="26" customHeight="1">
      <c r="A3" s="291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</row>
    <row r="5" ht="28" customHeight="1">
      <c r="A5" s="292" t="inlineStr">
        <is>
          <t>MES:</t>
        </is>
      </c>
      <c r="C5" s="293" t="inlineStr">
        <is>
          <t>FEBRERO</t>
        </is>
      </c>
      <c r="D5" s="162" t="n"/>
      <c r="E5" s="90" t="inlineStr">
        <is>
          <t>AÑO:</t>
        </is>
      </c>
      <c r="G5" s="293" t="inlineStr">
        <is>
          <t>← Cambia el mes aquí</t>
        </is>
      </c>
      <c r="H5" s="162" t="n"/>
    </row>
    <row r="7" ht="55" customHeight="1">
      <c r="A7" s="294" t="inlineStr">
        <is>
          <t>COBRANZA
TOTAL GENERAL</t>
        </is>
      </c>
      <c r="B7" s="45" t="n"/>
      <c r="C7" s="46" t="n"/>
      <c r="D7" s="295" t="inlineStr">
        <is>
          <t>COBRANZA
RECUPERADA</t>
        </is>
      </c>
      <c r="E7" s="45" t="n"/>
      <c r="F7" s="46" t="n"/>
      <c r="G7" s="296" t="inlineStr">
        <is>
          <t>COBRANZA
EFECTIVA</t>
        </is>
      </c>
      <c r="H7" s="45" t="n"/>
      <c r="I7" s="46" t="n"/>
      <c r="J7" s="220" t="inlineStr">
        <is>
          <t>CANCELACIONES</t>
        </is>
      </c>
      <c r="K7" s="45" t="n"/>
      <c r="L7" s="46" t="n"/>
      <c r="M7" s="38" t="n"/>
      <c r="N7" s="38" t="n"/>
    </row>
    <row r="8" ht="50" customHeight="1">
      <c r="A8" s="297">
        <f>INDIRECT("'ESTADISTICA 2026'!B"&amp;CHOOSE(MATCH($C$5,['ENERO', 'FEBRERO', 'MARZO', 'ABRIL', 'MAYO', 'JUNIO', 'JULIO', 'AGOSTO', 'SEPTIEMBRE', 'OCTUBRE', 'NOVIEMBRE', 'DICIEMBRE'],0),58,132,206,280,354,428,502,576,650,724,798,872))</f>
        <v/>
      </c>
      <c r="B8" s="163" t="n"/>
      <c r="C8" s="164" t="n"/>
      <c r="D8" s="298">
        <f>INDIRECT("'ESTADISTICA 2026'!B"&amp;CHOOSE(MATCH($C$5,['ENERO', 'FEBRERO', 'MARZO', 'ABRIL', 'MAYO', 'JUNIO', 'JULIO', 'AGOSTO', 'SEPTIEMBRE', 'OCTUBRE', 'NOVIEMBRE', 'DICIEMBRE'],0),49,123,197,271,345,419,493,567,641,715,789,863))</f>
        <v/>
      </c>
      <c r="E8" s="171" t="n"/>
      <c r="F8" s="172" t="n"/>
      <c r="G8" s="299">
        <f>INDIRECT("'ESTADISTICA 2026'!B"&amp;CHOOSE(MATCH($C$5,['ENERO', 'FEBRERO', 'MARZO', 'ABRIL', 'MAYO', 'JUNIO', 'JULIO', 'AGOSTO', 'SEPTIEMBRE', 'OCTUBRE', 'NOVIEMBRE', 'DICIEMBRE'],0),40,114,188,262,336,410,484,558,632,706,780,854))</f>
        <v/>
      </c>
      <c r="H8" s="169" t="n"/>
      <c r="I8" s="170" t="n"/>
      <c r="J8" s="224">
        <f>INDIRECT("'ESTADISTICA 2026'!B"&amp;CHOOSE(MATCH($C$5,['ENERO', 'FEBRERO', 'MARZO', 'ABRIL', 'MAYO', 'JUNIO', 'JULIO', 'AGOSTO', 'SEPTIEMBRE', 'OCTUBRE', 'NOVIEMBRE', 'DICIEMBRE'],0),20,96,170,244,318,392,466,540,614,688,762,836))</f>
        <v/>
      </c>
      <c r="K8" s="165" t="n"/>
      <c r="L8" s="166" t="n"/>
      <c r="M8" s="38" t="n"/>
      <c r="N8" s="38" t="n"/>
    </row>
    <row r="9" ht="22" customHeight="1">
      <c r="A9" s="300">
        <f>INDIRECT("'ESTADISTICA 2026'!B"&amp;CHOOSE(MATCH($C$5,['ENERO', 'FEBRERO', 'MARZO', 'ABRIL', 'MAYO', 'JUNIO', 'JULIO', 'AGOSTO', 'SEPTIEMBRE', 'OCTUBRE', 'NOVIEMBRE', 'DICIEMBRE'],0),20,96,170,244,318,392,466,540,614,688,762,836))/=INDIRECT("'ESTADISTICA 2026'!B"&amp;CHOOSE(MATCH($C$5,['ENERO', 'FEBRERO', 'MARZO', 'ABRIL', 'MAYO', 'JUNIO', 'JULIO', 'AGOSTO', 'SEPTIEMBRE', 'OCTUBRE', 'NOVIEMBRE', 'DICIEMBRE'],0),58,132,206,280,354,428,502,576,650,724,798,872))</f>
        <v/>
      </c>
      <c r="B9" s="45" t="n"/>
      <c r="C9" s="46" t="n"/>
      <c r="D9" s="301">
        <f>INDIRECT("'ESTADISTICA 2026'!B"&amp;CHOOSE(MATCH($C$5,['ENERO', 'FEBRERO', 'MARZO', 'ABRIL', 'MAYO', 'JUNIO', 'JULIO', 'AGOSTO', 'SEPTIEMBRE', 'OCTUBRE', 'NOVIEMBRE', 'DICIEMBRE'],0),49,123,197,271,345,419,493,567,641,715,789,863))/=INDIRECT("'ESTADISTICA 2026'!B"&amp;CHOOSE(MATCH($C$5,['ENERO', 'FEBRERO', 'MARZO', 'ABRIL', 'MAYO', 'JUNIO', 'JULIO', 'AGOSTO', 'SEPTIEMBRE', 'OCTUBRE', 'NOVIEMBRE', 'DICIEMBRE'],0),58,132,206,280,354,428,502,576,650,724,798,872))</f>
        <v/>
      </c>
      <c r="E9" s="45" t="n"/>
      <c r="F9" s="46" t="n"/>
      <c r="G9" s="302">
        <f>INDIRECT("'ESTADISTICA 2026'!B"&amp;CHOOSE(MATCH($C$5,['ENERO', 'FEBRERO', 'MARZO', 'ABRIL', 'MAYO', 'JUNIO', 'JULIO', 'AGOSTO', 'SEPTIEMBRE', 'OCTUBRE', 'NOVIEMBRE', 'DICIEMBRE'],0),40,114,188,262,336,410,484,558,632,706,780,854))/=INDIRECT("'ESTADISTICA 2026'!B"&amp;CHOOSE(MATCH($C$5,['ENERO', 'FEBRERO', 'MARZO', 'ABRIL', 'MAYO', 'JUNIO', 'JULIO', 'AGOSTO', 'SEPTIEMBRE', 'OCTUBRE', 'NOVIEMBRE', 'DICIEMBRE'],0),58,132,206,280,354,428,502,576,650,724,798,872))</f>
        <v/>
      </c>
      <c r="H9" s="45" t="n"/>
      <c r="I9" s="46" t="n"/>
      <c r="J9" s="267">
        <f>INDIRECT("'ESTADISTICA 2026'!B"&amp;CHOOSE(MATCH($C$5,['ENERO', 'FEBRERO', 'MARZO', 'ABRIL', 'MAYO', 'JUNIO', 'JULIO', 'AGOSTO', 'SEPTIEMBRE', 'OCTUBRE', 'NOVIEMBRE', 'DICIEMBRE'],0),31,105,179,253,327,401,475,549,623,697,771,845))/=INDIRECT("'ESTADISTICA 2026'!B"&amp;CHOOSE(MATCH($C$5,['ENERO', 'FEBRERO', 'MARZO', 'ABRIL', 'MAYO', 'JUNIO', 'JULIO', 'AGOSTO', 'SEPTIEMBRE', 'OCTUBRE', 'NOVIEMBRE', 'DICIEMBRE'],0),58,132,206,280,354,428,502,576,650,724,798,872))</f>
        <v/>
      </c>
      <c r="K9" s="45" t="n"/>
      <c r="L9" s="46" t="n"/>
      <c r="M9" s="38" t="n"/>
      <c r="N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32" customHeight="1">
      <c r="A11" s="303" t="inlineStr">
        <is>
          <t>COBRANZA
CORRIENTE</t>
        </is>
      </c>
      <c r="B11" s="45" t="n"/>
      <c r="C11" s="46" t="n"/>
      <c r="D11" s="303" t="inlineStr">
        <is>
          <t>COBRANZA
VENCIDA</t>
        </is>
      </c>
      <c r="E11" s="45" t="n"/>
      <c r="F11" s="46" t="n"/>
      <c r="G11" s="304" t="inlineStr">
        <is>
          <t>COBRANZA
ANTICIPADA</t>
        </is>
      </c>
      <c r="H11" s="45" t="n"/>
      <c r="I11" s="46" t="n"/>
      <c r="J11" s="231" t="inlineStr">
        <is>
          <t>PROYECCION
SIG. MES</t>
        </is>
      </c>
      <c r="K11" s="45" t="n"/>
      <c r="L11" s="46" t="n"/>
      <c r="M11" s="38" t="n"/>
      <c r="N11" s="38" t="n"/>
    </row>
    <row r="12" ht="32" customHeight="1">
      <c r="A12" s="305">
        <f>INDIRECT("'ESTADISTICA 2026'!B"&amp;CHOOSE(MATCH($C$5,['ENERO', 'FEBRERO', 'MARZO', 'ABRIL', 'MAYO', 'JUNIO', 'JULIO', 'AGOSTO', 'SEPTIEMBRE', 'OCTUBRE', 'NOVIEMBRE', 'DICIEMBRE'],0),11,87,161,235,309,383,457,531,605,679,753,827))</f>
        <v/>
      </c>
      <c r="B12" s="163" t="n"/>
      <c r="C12" s="164" t="n"/>
      <c r="D12" s="306">
        <f>INDIRECT("'ESTADISTICA 2026'!B"&amp;CHOOSE(MATCH($C$5,['ENERO', 'FEBRERO', 'MARZO', 'ABRIL', 'MAYO', 'JUNIO', 'JULIO', 'AGOSTO', 'SEPTIEMBRE', 'OCTUBRE', 'NOVIEMBRE', 'DICIEMBRE'],0),31,105,179,253,327,401,475,549,623,697,771,845))</f>
        <v/>
      </c>
      <c r="E12" s="167" t="n"/>
      <c r="F12" s="168" t="n"/>
      <c r="G12" s="307">
        <f>INDIRECT("'ESTADISTICA 2026'!B"&amp;CHOOSE(MATCH($C$5,['ENERO', 'FEBRERO', 'MARZO', 'ABRIL', 'MAYO', 'JUNIO', 'JULIO', 'AGOSTO', 'SEPTIEMBRE', 'OCTUBRE', 'NOVIEMBRE', 'DICIEMBRE'],0),67,141,215,289,363,437,511,585,659,733,807,881))</f>
        <v/>
      </c>
      <c r="H12" s="173" t="n"/>
      <c r="I12" s="174" t="n"/>
      <c r="J12" s="234">
        <f>INDIRECT("'ESTADISTICA 2026'!B"&amp;CHOOSE(MATCH($C$5,['ENERO', 'FEBRERO', 'MARZO', 'ABRIL', 'MAYO', 'JUNIO', 'JULIO', 'AGOSTO', 'SEPTIEMBRE', 'OCTUBRE', 'NOVIEMBRE', 'DICIEMBRE'],0),76,150,224,298,372,446,520,594,668,742,816,890))</f>
        <v/>
      </c>
      <c r="K12" s="175" t="n"/>
      <c r="L12" s="162" t="n"/>
      <c r="M12" s="38" t="n"/>
      <c r="N12" s="38" t="n"/>
    </row>
    <row r="13" ht="32" customHeight="1">
      <c r="A13" s="303">
        <f>INDIRECT("'ESTADISTICA 2026'!B"&amp;CHOOSE(MATCH($C$5,['ENERO', 'FEBRERO', 'MARZO', 'ABRIL', 'MAYO', 'JUNIO', 'JULIO', 'AGOSTO', 'SEPTIEMBRE', 'OCTUBRE', 'NOVIEMBRE', 'DICIEMBRE'],0),11,87,161,235,309,383,457,531,605,679,753,827))/=INDIRECT("'ESTADISTICA 2026'!B"&amp;CHOOSE(MATCH($C$5,['ENERO', 'FEBRERO', 'MARZO', 'ABRIL', 'MAYO', 'JUNIO', 'JULIO', 'AGOSTO', 'SEPTIEMBRE', 'OCTUBRE', 'NOVIEMBRE', 'DICIEMBRE'],0),58,132,206,280,354,428,502,576,650,724,798,872))</f>
        <v/>
      </c>
      <c r="B13" s="45" t="n"/>
      <c r="C13" s="46" t="n"/>
      <c r="D13" s="308">
        <f>INDIRECT("'ESTADISTICA 2026'!B"&amp;CHOOSE(MATCH($C$5,['ENERO', 'FEBRERO', 'MARZO', 'ABRIL', 'MAYO', 'JUNIO', 'JULIO', 'AGOSTO', 'SEPTIEMBRE', 'OCTUBRE', 'NOVIEMBRE', 'DICIEMBRE'],0),31,105,179,253,327,401,475,549,623,697,771,845))/=INDIRECT("'ESTADISTICA 2026'!B"&amp;CHOOSE(MATCH($C$5,['ENERO', 'FEBRERO', 'MARZO', 'ABRIL', 'MAYO', 'JUNIO', 'JULIO', 'AGOSTO', 'SEPTIEMBRE', 'OCTUBRE', 'NOVIEMBRE', 'DICIEMBRE'],0),58,132,206,280,354,428,502,576,650,724,798,872))</f>
        <v/>
      </c>
      <c r="E13" s="45" t="n"/>
      <c r="F13" s="46" t="n"/>
      <c r="G13" s="309">
        <f>INDIRECT("'ESTADISTICA 2026'!B"&amp;CHOOSE(MATCH($C$5,['ENERO', 'FEBRERO', 'MARZO', 'ABRIL', 'MAYO', 'JUNIO', 'JULIO', 'AGOSTO', 'SEPTIEMBRE', 'OCTUBRE', 'NOVIEMBRE', 'DICIEMBRE'],0),67,141,215,289,363,437,511,585,659,733,807,881))/=INDIRECT("'ESTADISTICA 2026'!B"&amp;CHOOSE(MATCH($C$5,['ENERO', 'FEBRERO', 'MARZO', 'ABRIL', 'MAYO', 'JUNIO', 'JULIO', 'AGOSTO', 'SEPTIEMBRE', 'OCTUBRE', 'NOVIEMBRE', 'DICIEMBRE'],0),58,132,206,280,354,428,502,576,650,724,798,872))</f>
        <v/>
      </c>
      <c r="H13" s="45" t="n"/>
      <c r="I13" s="46" t="n"/>
      <c r="J13" s="270">
        <f>INDIRECT("'ESTADISTICA 2026'!B"&amp;CHOOSE(MATCH($C$5,['ENERO', 'FEBRERO', 'MARZO', 'ABRIL', 'MAYO', 'JUNIO', 'JULIO', 'AGOSTO', 'SEPTIEMBRE', 'OCTUBRE', 'NOVIEMBRE', 'DICIEMBRE'],0),76,150,224,298,372,446,520,594,668,742,816,890))/=INDIRECT("'ESTADISTICA 2026'!B"&amp;CHOOSE(MATCH($C$5,['ENERO', 'FEBRERO', 'MARZO', 'ABRIL', 'MAYO', 'JUNIO', 'JULIO', 'AGOSTO', 'SEPTIEMBRE', 'OCTUBRE', 'NOVIEMBRE', 'DICIEMBRE'],0),58,132,206,280,354,428,502,576,650,724,798,872))</f>
        <v/>
      </c>
      <c r="K13" s="45" t="n"/>
      <c r="L13" s="46" t="n"/>
      <c r="M13" s="38" t="n"/>
      <c r="N13" s="38" t="n"/>
    </row>
    <row r="14" ht="32" customHeight="1">
      <c r="A14" s="303" t="n"/>
      <c r="B14" s="38" t="n"/>
      <c r="C14" s="38" t="n"/>
      <c r="D14" s="303" t="n"/>
      <c r="E14" s="38" t="n"/>
      <c r="F14" s="38" t="n"/>
      <c r="G14" s="304" t="n"/>
      <c r="H14" s="38" t="n"/>
      <c r="I14" s="38" t="n"/>
      <c r="J14" s="38" t="n"/>
      <c r="K14" s="38" t="n"/>
      <c r="L14" s="38" t="n"/>
      <c r="M14" s="38" t="n"/>
      <c r="N14" s="38" t="n"/>
    </row>
    <row r="15" ht="8" customHeight="1">
      <c r="A15" s="238" t="n"/>
      <c r="B15" s="238" t="n"/>
      <c r="C15" s="238" t="n"/>
      <c r="D15" s="238" t="n"/>
      <c r="E15" s="238" t="n"/>
      <c r="F15" s="238" t="n"/>
      <c r="G15" s="238" t="n"/>
      <c r="H15" s="238" t="n"/>
      <c r="I15" s="238" t="n"/>
      <c r="J15" s="238" t="n"/>
      <c r="K15" s="238" t="n"/>
      <c r="L15" s="238" t="n"/>
      <c r="M15" s="238" t="n"/>
      <c r="N15" s="238" t="n"/>
    </row>
    <row r="16" ht="22" customHeight="1">
      <c r="A16" s="310" t="inlineStr">
        <is>
          <t>CONCENTRADO GENERAL — DISTRIBUCIÓN DEL MES</t>
        </is>
      </c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5" t="n"/>
    </row>
    <row r="17" ht="18" customHeight="1">
      <c r="A17" s="311" t="inlineStr">
        <is>
          <t>CONCEPTO</t>
        </is>
      </c>
      <c r="B17" s="311" t="inlineStr">
        <is>
          <t>TOTAL ($)</t>
        </is>
      </c>
      <c r="C17" s="38" t="n"/>
      <c r="D17" s="311" t="inlineStr">
        <is>
          <t>% PARTICIP.</t>
        </is>
      </c>
      <c r="E17" s="38" t="n"/>
      <c r="F17" s="311" t="inlineStr">
        <is>
          <t>ESTATUS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</row>
    <row r="18" ht="18" customHeight="1">
      <c r="A18" s="312" t="inlineStr">
        <is>
          <t>COBRANZA TOTAL GENERAL</t>
        </is>
      </c>
      <c r="B18" s="313" t="n">
        <v>1251614</v>
      </c>
      <c r="C18" s="38" t="n"/>
      <c r="D18" s="314" t="n">
        <v>1</v>
      </c>
      <c r="E18" s="38" t="n"/>
      <c r="F18" s="315" t="inlineStr">
        <is>
          <t>Base del periodo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</row>
    <row r="19" ht="18" customHeight="1">
      <c r="A19" s="316" t="inlineStr">
        <is>
          <t>COBRANZA RECUPERADA</t>
        </is>
      </c>
      <c r="B19" s="317" t="n">
        <v>94027</v>
      </c>
      <c r="C19" s="38" t="n"/>
      <c r="D19" s="318" t="n">
        <v>0.07512459911761933</v>
      </c>
      <c r="E19" s="38" t="n"/>
      <c r="F19" s="319" t="inlineStr">
        <is>
          <t>Acumulado del mes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</row>
    <row r="20" ht="18" customHeight="1">
      <c r="A20" s="320" t="inlineStr">
        <is>
          <t>COBRANZA EFECTIVA</t>
        </is>
      </c>
      <c r="B20" s="321" t="n">
        <v>1131182</v>
      </c>
      <c r="C20" s="38" t="n"/>
      <c r="D20" s="322" t="n">
        <v>0.9037786410187166</v>
      </c>
      <c r="E20" s="38" t="n"/>
      <c r="F20" s="323" t="inlineStr">
        <is>
          <t>Cobrado en el mes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</row>
    <row r="21" ht="18" customHeight="1">
      <c r="A21" s="324" t="inlineStr">
        <is>
          <t>CANCELACIONES</t>
        </is>
      </c>
      <c r="B21" s="325" t="n">
        <v>127110</v>
      </c>
      <c r="C21" s="38" t="n"/>
      <c r="D21" s="326" t="n">
        <v>0.1015568697697533</v>
      </c>
      <c r="E21" s="38" t="n"/>
      <c r="F21" s="327" t="inlineStr">
        <is>
          <t>Pendiente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</row>
    <row r="22" ht="18" customHeight="1">
      <c r="A22" s="324" t="inlineStr">
        <is>
          <t>COBRANZA VENCIDA</t>
        </is>
      </c>
      <c r="B22" s="325" t="n">
        <v>251487.31</v>
      </c>
      <c r="C22" s="38" t="n"/>
      <c r="D22" s="326" t="n">
        <v>0.200930406658922</v>
      </c>
      <c r="E22" s="38" t="n"/>
      <c r="F22" s="327" t="inlineStr">
        <is>
          <t>En riesgo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</row>
    <row r="23" ht="24" customHeight="1">
      <c r="A23" s="328" t="inlineStr">
        <is>
          <t>TOTAL ACUMULADO</t>
        </is>
      </c>
      <c r="B23" s="329" t="n">
        <v>1251614</v>
      </c>
      <c r="C23" s="130" t="n"/>
      <c r="D23" s="330" t="n">
        <v>1</v>
      </c>
      <c r="E23" s="130" t="n"/>
      <c r="F23" s="331" t="inlineStr">
        <is>
          <t>Suma de todos los conceptos</t>
        </is>
      </c>
      <c r="G23" s="130" t="n"/>
      <c r="H23" s="130" t="n"/>
      <c r="I23" s="130" t="n"/>
      <c r="J23" s="130" t="n"/>
      <c r="K23" s="130" t="n"/>
      <c r="L23" s="130" t="n"/>
      <c r="M23" s="130" t="n"/>
      <c r="N23" s="130" t="n"/>
    </row>
    <row r="24" ht="22" customHeight="1">
      <c r="A24" s="239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 t="n"/>
    </row>
    <row r="25" ht="20" customHeight="1">
      <c r="A25" s="133" t="inlineStr">
        <is>
          <t>COBRANZA CORRIENTE</t>
        </is>
      </c>
      <c r="E25" s="134" t="inlineStr">
        <is>
          <t>CANCELACIONES</t>
        </is>
      </c>
      <c r="I25" s="135" t="inlineStr">
        <is>
          <t>COBRANZA VENCIDA</t>
        </is>
      </c>
      <c r="M25" s="136" t="inlineStr">
        <is>
          <t>COBRANZA EFECTIVA</t>
        </is>
      </c>
    </row>
    <row r="26" ht="15" customHeight="1">
      <c r="A26" s="137" t="inlineStr">
        <is>
          <t>LUGAR</t>
        </is>
      </c>
      <c r="B26" s="137" t="inlineStr">
        <is>
          <t>VENDEDOR</t>
        </is>
      </c>
      <c r="C26" s="137" t="inlineStr">
        <is>
          <t>MONTO</t>
        </is>
      </c>
      <c r="E26" s="138" t="inlineStr">
        <is>
          <t>LUGAR</t>
        </is>
      </c>
      <c r="F26" s="138" t="inlineStr">
        <is>
          <t>VENDEDOR</t>
        </is>
      </c>
      <c r="G26" s="138" t="inlineStr">
        <is>
          <t>MONTO</t>
        </is>
      </c>
      <c r="I26" s="139" t="inlineStr">
        <is>
          <t>LUGAR</t>
        </is>
      </c>
      <c r="J26" s="139" t="inlineStr">
        <is>
          <t>VENDEDOR</t>
        </is>
      </c>
      <c r="K26" s="139" t="inlineStr">
        <is>
          <t>MONTO</t>
        </is>
      </c>
      <c r="M26" s="140" t="inlineStr">
        <is>
          <t>LUGAR</t>
        </is>
      </c>
      <c r="N26" s="140" t="inlineStr">
        <is>
          <t>VENDEDOR</t>
        </is>
      </c>
      <c r="O26" s="140" t="inlineStr">
        <is>
          <t>MONTO</t>
        </is>
      </c>
    </row>
    <row r="27" ht="16" customHeight="1">
      <c r="A27" s="141" t="inlineStr">
        <is>
          <t>1er</t>
        </is>
      </c>
      <c r="B27" s="142" t="inlineStr">
        <is>
          <t>V1</t>
        </is>
      </c>
      <c r="C27" s="143" t="n">
        <v>207793</v>
      </c>
      <c r="E27" s="144" t="inlineStr">
        <is>
          <t>V38</t>
        </is>
      </c>
      <c r="F27" s="145" t="n">
        <v>21035</v>
      </c>
      <c r="G27" s="146" t="n"/>
      <c r="I27" s="147" t="inlineStr">
        <is>
          <t>V39 JOSE</t>
        </is>
      </c>
      <c r="J27" s="148" t="n">
        <v>70796.5</v>
      </c>
      <c r="K27" s="149" t="n"/>
      <c r="M27" s="150" t="inlineStr">
        <is>
          <t>EDGAR</t>
        </is>
      </c>
      <c r="N27" s="151" t="n">
        <v>150839</v>
      </c>
      <c r="O27" s="152" t="n"/>
    </row>
    <row r="28" ht="16" customHeight="1">
      <c r="A28" s="153" t="inlineStr">
        <is>
          <t>2o</t>
        </is>
      </c>
      <c r="B28" s="154" t="inlineStr">
        <is>
          <t>V6</t>
        </is>
      </c>
      <c r="C28" s="155" t="n">
        <v>198234</v>
      </c>
      <c r="E28" s="153" t="inlineStr">
        <is>
          <t>V56</t>
        </is>
      </c>
      <c r="F28" s="154" t="n">
        <v>17664</v>
      </c>
      <c r="G28" s="155" t="n"/>
      <c r="I28" s="153" t="inlineStr">
        <is>
          <t>JORGE</t>
        </is>
      </c>
      <c r="J28" s="154" t="n">
        <v>40169</v>
      </c>
      <c r="K28" s="155" t="n"/>
      <c r="M28" s="153" t="inlineStr">
        <is>
          <t>FRANCISCO</t>
        </is>
      </c>
      <c r="N28" s="154" t="n">
        <v>140739</v>
      </c>
      <c r="O28" s="155" t="n"/>
    </row>
    <row r="29" ht="16" customHeight="1">
      <c r="A29" s="141" t="inlineStr">
        <is>
          <t>3o</t>
        </is>
      </c>
      <c r="B29" s="142" t="inlineStr">
        <is>
          <t>V39</t>
        </is>
      </c>
      <c r="C29" s="143" t="n">
        <v>156891</v>
      </c>
      <c r="E29" s="144" t="inlineStr">
        <is>
          <t>V6</t>
        </is>
      </c>
      <c r="F29" s="145" t="n">
        <v>15924</v>
      </c>
      <c r="G29" s="146" t="n"/>
      <c r="I29" s="147" t="inlineStr">
        <is>
          <t>EDGAR</t>
        </is>
      </c>
      <c r="J29" s="148" t="n">
        <v>35046</v>
      </c>
      <c r="K29" s="149" t="n"/>
      <c r="M29" s="150" t="inlineStr">
        <is>
          <t>EDUARDO</t>
        </is>
      </c>
      <c r="N29" s="151" t="n">
        <v>91742</v>
      </c>
      <c r="O29" s="152" t="n"/>
    </row>
    <row r="30" ht="16" customHeight="1">
      <c r="A30" s="153" t="inlineStr">
        <is>
          <t>4o</t>
        </is>
      </c>
      <c r="B30" s="154" t="inlineStr">
        <is>
          <t>V38</t>
        </is>
      </c>
      <c r="C30" s="155" t="n">
        <v>142567</v>
      </c>
      <c r="E30" s="153" t="inlineStr">
        <is>
          <t>V84</t>
        </is>
      </c>
      <c r="F30" s="154" t="n">
        <v>14374</v>
      </c>
      <c r="G30" s="155" t="n"/>
      <c r="I30" s="153" t="inlineStr">
        <is>
          <t>FRANCISCO</t>
        </is>
      </c>
      <c r="J30" s="154" t="n">
        <v>34647</v>
      </c>
      <c r="K30" s="155" t="n"/>
      <c r="M30" s="153" t="inlineStr">
        <is>
          <t>JORGE</t>
        </is>
      </c>
      <c r="N30" s="154" t="n">
        <v>88710</v>
      </c>
      <c r="O30" s="155" t="n"/>
    </row>
    <row r="31" ht="16" customHeight="1">
      <c r="A31" s="141" t="inlineStr">
        <is>
          <t>5o</t>
        </is>
      </c>
      <c r="B31" s="142" t="inlineStr">
        <is>
          <t>V27</t>
        </is>
      </c>
      <c r="C31" s="143" t="n">
        <v>98765</v>
      </c>
      <c r="E31" s="144" t="inlineStr">
        <is>
          <t>V39</t>
        </is>
      </c>
      <c r="F31" s="145" t="n">
        <v>12431</v>
      </c>
      <c r="G31" s="146" t="n"/>
      <c r="I31" s="147" t="inlineStr">
        <is>
          <t>DEPOSITO</t>
        </is>
      </c>
      <c r="J31" s="148" t="n">
        <v>24103.81</v>
      </c>
      <c r="K31" s="149" t="n"/>
      <c r="M31" s="150" t="inlineStr">
        <is>
          <t>DEPOSITO</t>
        </is>
      </c>
      <c r="N31" s="151" t="n">
        <v>73492</v>
      </c>
      <c r="O31" s="152" t="n"/>
    </row>
    <row r="36" ht="8" customHeight="1">
      <c r="A36" s="89" t="n"/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</row>
    <row r="37" ht="22" customHeight="1">
      <c r="A37" s="113" t="inlineStr">
        <is>
          <t>TENDENCIA MENSUAL — EVOLUCIÓN POR MES</t>
        </is>
      </c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5" t="n"/>
    </row>
    <row r="38" ht="18" customHeight="1">
      <c r="A38" s="116" t="inlineStr">
        <is>
          <t>MES</t>
        </is>
      </c>
      <c r="B38" s="116" t="inlineStr">
        <is>
          <t>EFECTIVA ($)</t>
        </is>
      </c>
      <c r="C38" s="116" t="inlineStr">
        <is>
          <t>VENCIDA ($)</t>
        </is>
      </c>
      <c r="D38" s="116" t="inlineStr">
        <is>
          <t>RECUPERADA ($)</t>
        </is>
      </c>
      <c r="E38" s="116" t="inlineStr">
        <is>
          <t>TOTAL GRAL ($)</t>
        </is>
      </c>
    </row>
    <row r="39" ht="18" customHeight="1">
      <c r="A39" s="156" t="inlineStr">
        <is>
          <t>ENE 2026</t>
        </is>
      </c>
      <c r="B39" s="157" t="n">
        <v>1228968</v>
      </c>
      <c r="C39" s="157" t="n">
        <v>166220</v>
      </c>
      <c r="D39" s="157" t="n">
        <v>115277</v>
      </c>
      <c r="E39" s="157" t="n">
        <v>1408644</v>
      </c>
    </row>
    <row r="40">
      <c r="A40" t="inlineStr">
        <is>
          <t>FEB 2026</t>
        </is>
      </c>
      <c r="B40" t="n">
        <v>1110578</v>
      </c>
      <c r="C40" t="n">
        <v>251487.31</v>
      </c>
      <c r="D40" t="n">
        <v>94027</v>
      </c>
      <c r="E40" t="n">
        <v>1251614</v>
      </c>
    </row>
    <row r="41" ht="16" customHeight="1">
      <c r="A41" s="332" t="inlineStr">
        <is>
          <t>MAR 2026</t>
        </is>
      </c>
      <c r="B41" s="333" t="n">
        <v>1202393</v>
      </c>
      <c r="C41" s="333" t="n">
        <v>145938</v>
      </c>
      <c r="D41" s="333" t="n">
        <v>180788</v>
      </c>
      <c r="E41" s="333" t="n">
        <v>1433162</v>
      </c>
    </row>
    <row r="42">
      <c r="A42" s="333" t="inlineStr">
        <is>
          <t>ABR 2026</t>
        </is>
      </c>
      <c r="B42" s="333" t="n">
        <v>1017950</v>
      </c>
      <c r="C42" s="333" t="n">
        <v>142779</v>
      </c>
      <c r="D42" s="333" t="n">
        <v>73871</v>
      </c>
      <c r="E42" s="333" t="n">
        <v>1136869</v>
      </c>
    </row>
    <row r="43" ht="16" customHeight="1">
      <c r="A43" s="216" t="inlineStr">
        <is>
          <t>PROTEG-RT MUTUALIDAD  |  Gerencia de Cobranza  |  Reporte Mensual — Luna Dashboard</t>
        </is>
      </c>
    </row>
    <row r="50">
      <c r="A50" t="inlineStr">
        <is>
          <t>MES</t>
        </is>
      </c>
      <c r="B50" t="inlineStr">
        <is>
          <t>DATA_ROW</t>
        </is>
      </c>
    </row>
    <row r="51">
      <c r="A51" t="inlineStr">
        <is>
          <t>ENERO</t>
        </is>
      </c>
      <c r="B51" t="n">
        <v>5</v>
      </c>
    </row>
    <row r="52">
      <c r="A52" t="inlineStr">
        <is>
          <t>FEBRERO</t>
        </is>
      </c>
      <c r="B52" t="n">
        <v>79</v>
      </c>
    </row>
    <row r="53">
      <c r="A53" t="inlineStr">
        <is>
          <t>MARZO</t>
        </is>
      </c>
      <c r="B53" t="n">
        <v>153</v>
      </c>
    </row>
    <row r="54">
      <c r="A54" t="inlineStr">
        <is>
          <t>ABRIL</t>
        </is>
      </c>
      <c r="B54" t="n">
        <v>227</v>
      </c>
    </row>
    <row r="55">
      <c r="A55" t="inlineStr">
        <is>
          <t>MAYO</t>
        </is>
      </c>
      <c r="B55" t="n">
        <v>301</v>
      </c>
    </row>
    <row r="56">
      <c r="A56" t="inlineStr">
        <is>
          <t>JUNIO</t>
        </is>
      </c>
      <c r="B56" t="n">
        <v>375</v>
      </c>
    </row>
    <row r="57">
      <c r="A57" t="inlineStr">
        <is>
          <t>JULIO</t>
        </is>
      </c>
      <c r="B57" t="n">
        <v>449</v>
      </c>
    </row>
    <row r="58">
      <c r="A58" t="inlineStr">
        <is>
          <t>AGOSTO</t>
        </is>
      </c>
      <c r="B58" t="n">
        <v>523</v>
      </c>
    </row>
    <row r="59">
      <c r="A59" t="inlineStr">
        <is>
          <t>SEPTIEMBRE</t>
        </is>
      </c>
      <c r="B59" t="n">
        <v>597</v>
      </c>
    </row>
    <row r="60">
      <c r="A60" t="inlineStr">
        <is>
          <t>OCTUBRE</t>
        </is>
      </c>
      <c r="B60" t="n">
        <v>671</v>
      </c>
    </row>
    <row r="61">
      <c r="A61" t="inlineStr">
        <is>
          <t>NOVIEMBRE</t>
        </is>
      </c>
      <c r="B61" t="n">
        <v>745</v>
      </c>
    </row>
    <row r="62">
      <c r="A62" t="inlineStr">
        <is>
          <t>DICIEMBRE</t>
        </is>
      </c>
      <c r="B62" t="n">
        <v>819</v>
      </c>
    </row>
  </sheetData>
  <mergeCells count="39">
    <mergeCell ref="A25:C25"/>
    <mergeCell ref="D11:F11"/>
    <mergeCell ref="D13:F13"/>
    <mergeCell ref="G13:I13"/>
    <mergeCell ref="A24:N24"/>
    <mergeCell ref="C5:D5"/>
    <mergeCell ref="E5:F5"/>
    <mergeCell ref="M25:O25"/>
    <mergeCell ref="D7:F7"/>
    <mergeCell ref="A12:C12"/>
    <mergeCell ref="J11:L11"/>
    <mergeCell ref="A1:N1"/>
    <mergeCell ref="J7:L7"/>
    <mergeCell ref="A8:C8"/>
    <mergeCell ref="A16:N16"/>
    <mergeCell ref="D12:F12"/>
    <mergeCell ref="D9:F9"/>
    <mergeCell ref="J12:L12"/>
    <mergeCell ref="D8:F8"/>
    <mergeCell ref="A37:N37"/>
    <mergeCell ref="E25:G25"/>
    <mergeCell ref="A3:N3"/>
    <mergeCell ref="A13:C13"/>
    <mergeCell ref="A2:N2"/>
    <mergeCell ref="A5:B5"/>
    <mergeCell ref="G5:H5"/>
    <mergeCell ref="A9:C9"/>
    <mergeCell ref="G9:I9"/>
    <mergeCell ref="J8:L8"/>
    <mergeCell ref="G12:I12"/>
    <mergeCell ref="G11:I11"/>
    <mergeCell ref="A11:C11"/>
    <mergeCell ref="J13:L13"/>
    <mergeCell ref="G8:I8"/>
    <mergeCell ref="A43:N43"/>
    <mergeCell ref="J9:L9"/>
    <mergeCell ref="A7:C7"/>
    <mergeCell ref="G7:I7"/>
    <mergeCell ref="I25:K25"/>
  </mergeCells>
  <dataValidations count="1">
    <dataValidation sqref="C5" showDropDown="0" showInputMessage="0" showErrorMessage="0" allowBlank="0" errorTitle="Mes inválido" error="Selecciona un mes de la lista" type="list">
      <formula1>"ENERO,FEBRERO,MARZO,ABRIL,MAYO,JUNIO,JULIO,AGOSTO,SEPTIEMBRE,OCTUBRE,NOVIEMBRE,DICIEMBRE"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2" customWidth="1" min="3" max="3"/>
    <col width="35" customWidth="1" min="4" max="4"/>
    <col width="22" customWidth="1" min="5" max="5"/>
  </cols>
  <sheetData>
    <row r="1" ht="30" customHeight="1">
      <c r="A1" s="202" t="inlineStr">
        <is>
          <t>PROTEG-RT MUTUALIDAD</t>
        </is>
      </c>
    </row>
    <row r="2" ht="22" customHeight="1">
      <c r="A2" s="203" t="inlineStr">
        <is>
          <t>GUÍA DE KPIs — DICCIONARIO DE MÉTRICAS DE COBRANZA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</row>
    <row r="5" ht="40" customHeight="1">
      <c r="A5" s="205" t="inlineStr">
        <is>
          <t>Este documento describe cada KPI del Dashboard y Plantilla de Estadísticas. Sirve como guía para interpretar los datos y entender cómo se calcula cada métrica. Cada KPI corresponde a una sección del reporte mensual de cobranza.</t>
        </is>
      </c>
    </row>
    <row r="7" ht="20" customHeight="1">
      <c r="A7" s="206" t="inlineStr">
        <is>
          <t>MÉTRICA</t>
        </is>
      </c>
      <c r="B7" s="206" t="inlineStr">
        <is>
          <t>TOTAL ($) — ENE 2026</t>
        </is>
      </c>
      <c r="C7" s="206" t="inlineStr">
        <is>
          <t>DESCRIPCIÓN</t>
        </is>
      </c>
      <c r="D7" s="206" t="inlineStr">
        <is>
          <t>¿CÓMO SE INTERPRETA?</t>
        </is>
      </c>
      <c r="E7" s="206" t="inlineStr">
        <is>
          <t>FÓRMULA / FUENTE</t>
        </is>
      </c>
    </row>
    <row r="8" ht="50" customHeight="1">
      <c r="A8" s="207" t="inlineStr">
        <is>
          <t>COBRANZA TOTAL GENERAL</t>
        </is>
      </c>
      <c r="B8" s="208" t="inlineStr">
        <is>
          <t>$1,408,644</t>
        </is>
      </c>
      <c r="C8" s="209" t="inlineStr">
        <is>
          <t>Es el monto total de toda la facturación emitida en el mes. Incluye todos los contratos nuevos y renovaciones generados en el periodo.</t>
        </is>
      </c>
      <c r="D8" s="209" t="inlineStr">
        <is>
          <t>Representa el universo completo de facturación. Es el punto de partida para calcular todos los demás porcentajes de eficiencia.</t>
        </is>
      </c>
      <c r="E8" s="210">
        <f> Suma de TOTAL GENERAL (columna Z/AA del reporte). Se toma sin filtro de STATUS.</f>
        <v/>
      </c>
    </row>
    <row r="9" ht="50" customHeight="1">
      <c r="A9" s="211" t="inlineStr">
        <is>
          <t>COBRANZA RECUPERADA</t>
        </is>
      </c>
      <c r="B9" s="212" t="inlineStr">
        <is>
          <t>$115,277</t>
        </is>
      </c>
      <c r="C9" s="213" t="inlineStr">
        <is>
          <t>Son las cuentas que estavam vencidas (atrasadas de meses anteriores) y que en este mes lograron recuperase mediante pago.</t>
        </is>
      </c>
      <c r="D9" s="213" t="inlineStr">
        <is>
          <t>Un valor alto indica que se está haciendo buen trabajo de cobranza sobre cartera vieja. Meta: maximizar este indicador.</t>
        </is>
      </c>
      <c r="E9" s="214">
        <f> Suma de MONTO (columna AV) en apartado RECUPERADA, sin filtro STATUS. Top 5 agrupa por COBRADO (columna BA).</f>
        <v/>
      </c>
    </row>
    <row r="10" ht="50" customHeight="1">
      <c r="A10" s="207" t="inlineStr">
        <is>
          <t>COBRANZA EFECTIVA</t>
        </is>
      </c>
      <c r="B10" s="208" t="inlineStr">
        <is>
          <t>$1,228,968</t>
        </is>
      </c>
      <c r="C10" s="209" t="inlineStr">
        <is>
          <t>Es el monto cobrado durante el mes que corresponde a ventas del MISMO periodo de facturación (no incluye cartera vencida).</t>
        </is>
      </c>
      <c r="D10" s="209" t="inlineStr">
        <is>
          <t>Es el indicador principal de eficiencia de cobranza. Compara cuánto se cobró vs cuánto se emitió. Meta: &gt;75%.</t>
        </is>
      </c>
      <c r="E10" s="210">
        <f> Suma de MONTO (columna AK) en apartado EFECTIVA, sin filtro STATUS. Top 5 agrupa por COBRADO (columna AP).</f>
        <v/>
      </c>
    </row>
    <row r="11" ht="50" customHeight="1">
      <c r="A11" s="211" t="inlineStr">
        <is>
          <t>CANCELACIONES</t>
        </is>
      </c>
      <c r="B11" s="212" t="inlineStr">
        <is>
          <t>$127,110</t>
        </is>
      </c>
      <c r="C11" s="213" t="inlineStr">
        <is>
          <t>Son las pólizas que fueron canceladas durante el mes, ya sea por falta de pago o por decisión del cliente.</t>
        </is>
      </c>
      <c r="D11" s="213" t="inlineStr">
        <is>
          <t>Un valor alto puede indicar problemas en la calidad de la venta o en la gestión de cobranza preventiva. Revisar causa raíz.</t>
        </is>
      </c>
      <c r="E11" s="214">
        <f> Suma de MONTO en apartado CANCELACIONES, sin filtro STATUS. Top 5 agrupa por VENDEDOR (columna U/V).</f>
        <v/>
      </c>
    </row>
    <row r="12" ht="50" customHeight="1">
      <c r="A12" s="207" t="inlineStr">
        <is>
          <t>COBRANZA VENCIDA</t>
        </is>
      </c>
      <c r="B12" s="208" t="inlineStr">
        <is>
          <t>$166,220</t>
        </is>
      </c>
      <c r="C12" s="209" t="inlineStr">
        <is>
          <t>Son las cuentas que tenían atraso y NO se recuperaron en el mes. Representa la cartera vencida pendiente de cobro.</t>
        </is>
      </c>
      <c r="D12" s="209" t="inlineStr">
        <is>
          <t>Un valor bajo es bueno (significa que se está recuperando la cartera vencida). Un valor alto requiere acción inmediata.</t>
        </is>
      </c>
      <c r="E12" s="210">
        <f> Suma de MONTO en apartado VENCIDA/ATRASADA, sin filtro STATUS. Top 5 agrupa por UBICACIÓN_T (columna V).</f>
        <v/>
      </c>
    </row>
    <row r="13" ht="50" customHeight="1">
      <c r="A13" s="211" t="inlineStr">
        <is>
          <t>COBRANZA CORRIENTE</t>
        </is>
      </c>
      <c r="B13" s="212" t="inlineStr">
        <is>
          <t>$1,608,391</t>
        </is>
      </c>
      <c r="C13" s="213" t="inlineStr">
        <is>
          <t>Es el monto total de la cartera ACTUAL (vence en el mes actual). Es la base de la operación normal de cobranza.</t>
        </is>
      </c>
      <c r="D13" s="213" t="inlineStr">
        <is>
          <t>Es la referencia principal para evaluar el desempeño del equipo. Representa la facturación reciente pendiente de cobro.</t>
        </is>
      </c>
      <c r="E13" s="214">
        <f> Suma de MONTO (columna Z) en apartado CORRIENTE, sin filtro STATUS. Top 5 agrupa por VENDEDOR (columna U).</f>
        <v/>
      </c>
    </row>
    <row r="14" ht="50" customHeight="1">
      <c r="A14" s="207" t="inlineStr">
        <is>
          <t>COBRANZA ANTICIPADA</t>
        </is>
      </c>
      <c r="B14" s="208" t="inlineStr">
        <is>
          <t>$80,464</t>
        </is>
      </c>
      <c r="C14" s="209" t="inlineStr">
        <is>
          <t>Son pagos que el cliente realizó ANTES de la fecha de vencimiento. Indica buen comportamiento de pago.</t>
        </is>
      </c>
      <c r="D14" s="209" t="inlineStr">
        <is>
          <t>Un valor positivo es favorable: significa que hay clientes que pagan antes de tiempo, lo cual mejora el flujo de caja.</t>
        </is>
      </c>
      <c r="E14" s="210">
        <f> Suma de MONTO (columna BG) en apartado ADELANTADA FUTURA, sin filtro STATUS. Top 5 agrupa por COBRADO (columna BL).</f>
        <v/>
      </c>
    </row>
    <row r="15" ht="50" customHeight="1">
      <c r="A15" s="211" t="inlineStr">
        <is>
          <t>PROYECCIÓN (SIG. MES)</t>
        </is>
      </c>
      <c r="B15" s="212" t="inlineStr">
        <is>
          <t>$1,158,184</t>
        </is>
      </c>
      <c r="C15" s="213" t="inlineStr">
        <is>
          <t>Es la estimación de cuánto se cobrará en el MES SIGUIENTE basándose en la tendencia actual de cobranza efectiva.</t>
        </is>
      </c>
      <c r="D15" s="213" t="inlineStr">
        <is>
          <t>Se usa para planeación financiera y de operación. No es un compromiso de cobro, sino una referencia proyectada.</t>
        </is>
      </c>
      <c r="E15" s="214">
        <f> Calculado por el sistema con base en el promedio de cobranza efectiva de los últimos 3 meses.</f>
        <v/>
      </c>
    </row>
    <row r="17" ht="8" customHeight="1">
      <c r="A17" s="89" t="n"/>
      <c r="B17" s="89" t="n"/>
      <c r="C17" s="89" t="n"/>
      <c r="D17" s="89" t="n"/>
      <c r="E17" s="89" t="n"/>
    </row>
    <row r="18" ht="30" customHeight="1">
      <c r="A18" s="215" t="inlineStr">
        <is>
          <t>📌 Nota: Los valores en la columna 'TOTAL ($) — ENE 2026' son ejemplos del mes de referencia (Enero 2026). Al cargar datos de otros meses, los totales se actualizan automáticamente en la Plantilla Principal.</t>
        </is>
      </c>
    </row>
    <row r="20" ht="16" customHeight="1">
      <c r="A20" s="216" t="inlineStr">
        <is>
          <t>PROTEG-RT MUTUALIDAD  |  Gerencia de Cobranza  |  Guía de KPIs — Luna Dashboard</t>
        </is>
      </c>
    </row>
  </sheetData>
  <mergeCells count="6">
    <mergeCell ref="A20:E20"/>
    <mergeCell ref="A2:E2"/>
    <mergeCell ref="A5:E5"/>
    <mergeCell ref="A1:E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14"/>
  <sheetViews>
    <sheetView workbookViewId="0">
      <pane ySplit="6" topLeftCell="A7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</cols>
  <sheetData>
    <row r="1" ht="18" customHeight="1">
      <c r="A1" s="1" t="inlineStr">
        <is>
          <t>PROTEG-RT MUTUALIDAD</t>
        </is>
      </c>
    </row>
    <row r="2" ht="24" customHeight="1">
      <c r="A2" s="277" t="inlineStr">
        <is>
          <t>REPORTE DE COBRANZA — JUNTA MENSUAL</t>
        </is>
      </c>
    </row>
    <row r="3" ht="18" customHeight="1">
      <c r="A3" s="3" t="inlineStr">
        <is>
          <t>AÑO 2026</t>
        </is>
      </c>
    </row>
    <row r="4" ht="18" customHeight="1"/>
    <row r="5" ht="18" customHeight="1">
      <c r="A5" s="4" t="inlineStr">
        <is>
          <t>ENERO 2026</t>
        </is>
      </c>
    </row>
    <row r="6" ht="18" customHeight="1">
      <c r="A6" s="34" t="inlineStr">
        <is>
          <t>CONCEPTO</t>
        </is>
      </c>
      <c r="B6" s="34" t="inlineStr">
        <is>
          <t>TOTAL ($)</t>
        </is>
      </c>
      <c r="C6" s="34" t="inlineStr">
        <is>
          <t>VENDEDOR / COBRADOR</t>
        </is>
      </c>
      <c r="D6" s="34" t="inlineStr">
        <is>
          <t>MONTO</t>
        </is>
      </c>
      <c r="E6" s="34" t="inlineStr">
        <is>
          <t>VENDEDOR / COBRADOR</t>
        </is>
      </c>
      <c r="F6" s="34" t="inlineStr">
        <is>
          <t>MONTO</t>
        </is>
      </c>
      <c r="G6" s="34" t="inlineStr">
        <is>
          <t>VENDEDOR / COBRADOR</t>
        </is>
      </c>
      <c r="H6" s="34" t="inlineStr">
        <is>
          <t>MONTO</t>
        </is>
      </c>
      <c r="I6" s="34" t="inlineStr">
        <is>
          <t>VENDEDOR / COBRADOR</t>
        </is>
      </c>
      <c r="J6" s="34" t="inlineStr">
        <is>
          <t>MONTO</t>
        </is>
      </c>
      <c r="K6" s="34" t="inlineStr">
        <is>
          <t>VENDEDOR / COBRADOR</t>
        </is>
      </c>
      <c r="L6" s="34" t="inlineStr">
        <is>
          <t>MONTO</t>
        </is>
      </c>
      <c r="M6" s="34" t="inlineStr">
        <is>
          <t>% ACUM.</t>
        </is>
      </c>
      <c r="N6" s="34" t="inlineStr">
        <is>
          <t>% ACUM. MENSUAL</t>
        </is>
      </c>
    </row>
    <row r="7" ht="18" customHeight="1">
      <c r="A7" s="35" t="inlineStr">
        <is>
          <t>DATOS GENERALES</t>
        </is>
      </c>
    </row>
    <row r="8" ht="18" customHeight="1">
      <c r="A8" s="8" t="inlineStr">
        <is>
          <t>Mes</t>
        </is>
      </c>
      <c r="B8" s="9" t="inlineStr">
        <is>
          <t>ENERO</t>
        </is>
      </c>
      <c r="E8" s="8" t="inlineStr">
        <is>
          <t>Año</t>
        </is>
      </c>
      <c r="F8" s="9" t="n">
        <v>2026</v>
      </c>
    </row>
    <row r="9" ht="18" customHeight="1">
      <c r="A9" s="8" t="inlineStr">
        <is>
          <t>Fecha de corte</t>
        </is>
      </c>
      <c r="B9" s="10" t="n"/>
      <c r="E9" s="8" t="inlineStr">
        <is>
          <t>Elaboró</t>
        </is>
      </c>
      <c r="F9" s="10" t="n"/>
    </row>
    <row r="10" ht="18" customHeight="1">
      <c r="A10" s="36" t="inlineStr">
        <is>
          <t>COBRANZA CORRIENTE</t>
        </is>
      </c>
      <c r="B10" s="37" t="n"/>
      <c r="C10" s="38" t="n"/>
      <c r="D10" s="38" t="n"/>
      <c r="E10" s="39" t="n"/>
      <c r="F10" s="37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18" customHeight="1">
      <c r="A11" s="40" t="inlineStr">
        <is>
          <t>Total</t>
        </is>
      </c>
      <c r="B11" s="260" t="n">
        <v>1608391</v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</row>
    <row r="12" ht="18" customHeight="1">
      <c r="A12" s="42" t="n"/>
      <c r="B12" s="43" t="inlineStr">
        <is>
          <t>Top 5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 ht="18" customHeight="1">
      <c r="A13" s="240" t="n"/>
      <c r="B13" s="45" t="n"/>
      <c r="C13" s="45" t="inlineStr">
        <is>
          <t>V1</t>
        </is>
      </c>
      <c r="D13" s="45" t="n"/>
      <c r="E13" s="45" t="n"/>
      <c r="F13" s="45" t="n"/>
      <c r="G13" s="45" t="n"/>
      <c r="H13" s="46" t="n"/>
      <c r="I13" s="83" t="n"/>
      <c r="J13" s="83" t="n"/>
      <c r="K13" s="83" t="n"/>
      <c r="L13" s="83" t="n"/>
      <c r="M13" s="83" t="n"/>
      <c r="N13" s="83" t="n"/>
      <c r="O13" s="70" t="n"/>
      <c r="P13" s="70" t="n"/>
    </row>
    <row r="14" ht="18" customHeight="1">
      <c r="A14" s="241" t="n"/>
      <c r="B14" s="241" t="n"/>
      <c r="C14" s="242" t="n"/>
      <c r="D14" s="241" t="inlineStr">
        <is>
          <t>V6</t>
        </is>
      </c>
      <c r="E14" s="242" t="n"/>
      <c r="F14" s="241" t="n"/>
      <c r="G14" s="242" t="n"/>
      <c r="H14" s="242" t="n"/>
      <c r="I14" s="242" t="n"/>
      <c r="J14" s="242" t="n"/>
      <c r="K14" s="242" t="n"/>
      <c r="L14" s="242" t="n"/>
      <c r="M14" s="242" t="n"/>
      <c r="N14" s="242" t="n"/>
      <c r="O14" s="70" t="n"/>
      <c r="P14" s="70" t="n"/>
    </row>
    <row r="15" ht="18" customHeight="1">
      <c r="A15" s="124" t="n"/>
      <c r="B15" s="125" t="n"/>
      <c r="C15" s="242" t="n"/>
      <c r="D15" s="243" t="n"/>
      <c r="E15" s="242" t="inlineStr">
        <is>
          <t>V38</t>
        </is>
      </c>
      <c r="F15" s="244" t="n"/>
      <c r="G15" s="242" t="n"/>
      <c r="H15" s="242" t="n"/>
      <c r="I15" s="242" t="n"/>
      <c r="J15" s="242" t="n"/>
      <c r="K15" s="242" t="n"/>
      <c r="L15" s="242" t="n"/>
      <c r="M15" s="245" t="n"/>
      <c r="N15" s="245" t="n"/>
      <c r="O15" s="70" t="n"/>
      <c r="P15" s="70" t="n"/>
    </row>
    <row r="16" ht="18" customHeight="1">
      <c r="A16" s="124" t="n"/>
      <c r="B16" s="125" t="n"/>
      <c r="C16" s="242" t="n"/>
      <c r="D16" s="246" t="n"/>
      <c r="E16" s="242" t="n"/>
      <c r="F16" s="247" t="inlineStr">
        <is>
          <t>V39</t>
        </is>
      </c>
      <c r="G16" s="242" t="n"/>
      <c r="H16" s="242" t="n"/>
      <c r="I16" s="242" t="n"/>
      <c r="J16" s="242" t="n"/>
      <c r="K16" s="242" t="n"/>
      <c r="L16" s="242" t="n"/>
      <c r="M16" s="245" t="n"/>
      <c r="N16" s="245" t="n"/>
      <c r="O16" s="70" t="n"/>
      <c r="P16" s="70" t="n"/>
    </row>
    <row r="17" ht="18" customHeight="1">
      <c r="A17" s="124" t="n"/>
      <c r="B17" s="125" t="n"/>
      <c r="C17" s="242" t="n"/>
      <c r="D17" s="248" t="n"/>
      <c r="E17" s="242" t="n"/>
      <c r="F17" s="249" t="n"/>
      <c r="G17" s="242" t="inlineStr">
        <is>
          <t>V27</t>
        </is>
      </c>
      <c r="H17" s="250" t="n"/>
      <c r="I17" s="242" t="n"/>
      <c r="J17" s="242" t="n"/>
      <c r="K17" s="242" t="n"/>
      <c r="L17" s="242" t="n"/>
      <c r="M17" s="245" t="n"/>
      <c r="N17" s="245" t="n"/>
      <c r="O17" s="70" t="n"/>
      <c r="P17" s="70" t="n"/>
    </row>
    <row r="18" ht="18" customHeight="1">
      <c r="A18" s="124" t="n"/>
      <c r="B18" s="125" t="n"/>
      <c r="C18" s="242" t="n"/>
      <c r="D18" s="251" t="n"/>
      <c r="E18" s="242" t="n"/>
      <c r="F18" s="252" t="n"/>
      <c r="G18" s="242" t="n"/>
      <c r="H18" s="242" t="n"/>
      <c r="I18" s="242" t="n"/>
      <c r="J18" s="250" t="n"/>
      <c r="K18" s="242" t="n"/>
      <c r="L18" s="242" t="n"/>
      <c r="M18" s="245" t="n"/>
      <c r="N18" s="245" t="n"/>
      <c r="O18" s="70" t="n"/>
      <c r="P18" s="70" t="n"/>
    </row>
    <row r="19" ht="18" customHeight="1">
      <c r="A19" s="124" t="n"/>
      <c r="B19" s="125" t="n"/>
      <c r="C19" s="242" t="n"/>
      <c r="D19" s="253" t="n"/>
      <c r="E19" s="242" t="n"/>
      <c r="F19" s="254" t="n"/>
      <c r="G19" s="45" t="n"/>
      <c r="H19" s="46" t="n"/>
      <c r="I19" s="242" t="n"/>
      <c r="J19" s="242" t="n"/>
      <c r="K19" s="242" t="n"/>
      <c r="L19" s="250" t="n"/>
      <c r="M19" s="245" t="n"/>
      <c r="N19" s="245" t="n"/>
      <c r="O19" s="70" t="n"/>
      <c r="P19" s="70" t="n"/>
    </row>
    <row r="20" ht="18" customHeight="1">
      <c r="A20" s="255" t="n"/>
      <c r="B20" s="256" t="n">
        <v>127110</v>
      </c>
      <c r="C20" s="257" t="n"/>
      <c r="D20" s="258" t="n"/>
      <c r="E20" s="257" t="n"/>
      <c r="F20" s="259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70" t="n"/>
      <c r="P20" s="70" t="n"/>
    </row>
    <row r="21" ht="18" customHeight="1">
      <c r="A21" s="84" t="inlineStr">
        <is>
          <t>Top 5</t>
        </is>
      </c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1" t="n"/>
    </row>
    <row r="22" ht="18" customHeight="1">
      <c r="A22" s="72" t="inlineStr">
        <is>
          <t>1er lugar</t>
        </is>
      </c>
      <c r="B22" s="73" t="n"/>
      <c r="C22" s="74" t="inlineStr">
        <is>
          <t>V1</t>
        </is>
      </c>
      <c r="D22" s="75" t="n">
        <v>356324</v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76" t="n">
        <v>0.2215</v>
      </c>
      <c r="N22" s="77" t="n">
        <v>0.2215</v>
      </c>
    </row>
    <row r="23" ht="18" customHeight="1">
      <c r="A23" s="40" t="inlineStr">
        <is>
          <t>2o lugar</t>
        </is>
      </c>
      <c r="B23" s="46" t="n"/>
      <c r="C23" s="48" t="n"/>
      <c r="D23" s="48" t="inlineStr">
        <is>
          <t>V38</t>
        </is>
      </c>
      <c r="E23" s="78" t="inlineStr">
        <is>
          <t>V1</t>
        </is>
      </c>
      <c r="F23" s="79" t="n">
        <v>297307</v>
      </c>
      <c r="G23" s="48" t="n"/>
      <c r="H23" s="48" t="n"/>
      <c r="I23" s="48" t="n"/>
      <c r="J23" s="48" t="n"/>
      <c r="K23" s="48" t="n"/>
      <c r="L23" s="48" t="n"/>
      <c r="M23" s="80" t="n">
        <v>0.1848</v>
      </c>
      <c r="N23" s="81" t="n">
        <v>0.4064</v>
      </c>
    </row>
    <row r="24" ht="18" customHeight="1">
      <c r="A24" s="72" t="inlineStr">
        <is>
          <t>3er lugar</t>
        </is>
      </c>
      <c r="B24" s="48" t="n"/>
      <c r="C24" s="48" t="n"/>
      <c r="D24" s="62" t="n"/>
      <c r="E24" s="48" t="inlineStr">
        <is>
          <t>V6</t>
        </is>
      </c>
      <c r="F24" s="48" t="n"/>
      <c r="G24" s="74" t="inlineStr">
        <is>
          <t>V38</t>
        </is>
      </c>
      <c r="H24" s="75" t="n">
        <v>241116</v>
      </c>
      <c r="I24" s="48" t="n"/>
      <c r="J24" s="48" t="n"/>
      <c r="K24" s="48" t="n"/>
      <c r="L24" s="48" t="n"/>
      <c r="M24" s="76" t="n">
        <v>0.1499</v>
      </c>
      <c r="N24" s="77" t="n">
        <v>0.5563</v>
      </c>
    </row>
    <row r="25" ht="18" customHeight="1">
      <c r="A25" s="40" t="inlineStr">
        <is>
          <t>4o lugar</t>
        </is>
      </c>
      <c r="B25" s="48" t="n"/>
      <c r="C25" s="48" t="n"/>
      <c r="D25" s="48" t="n"/>
      <c r="E25" s="48" t="n"/>
      <c r="F25" s="62" t="inlineStr">
        <is>
          <t>V56</t>
        </is>
      </c>
      <c r="G25" s="48" t="n"/>
      <c r="H25" s="48" t="n"/>
      <c r="I25" s="78" t="inlineStr">
        <is>
          <t>V39</t>
        </is>
      </c>
      <c r="J25" s="79" t="n">
        <v>176093</v>
      </c>
      <c r="K25" s="48" t="n"/>
      <c r="L25" s="48" t="n"/>
      <c r="M25" s="80" t="n">
        <v>0.1095</v>
      </c>
      <c r="N25" s="81" t="n">
        <v>0.6657999999999999</v>
      </c>
    </row>
    <row r="26" ht="18" customHeight="1">
      <c r="A26" s="72" t="inlineStr">
        <is>
          <t>5o lugar</t>
        </is>
      </c>
      <c r="B26" s="48" t="n"/>
      <c r="C26" s="48" t="n"/>
      <c r="D26" s="48" t="n"/>
      <c r="E26" s="48" t="n"/>
      <c r="F26" s="48" t="n"/>
      <c r="G26" s="48" t="inlineStr">
        <is>
          <t>V84</t>
        </is>
      </c>
      <c r="H26" s="62" t="n"/>
      <c r="I26" s="48" t="n"/>
      <c r="J26" s="48" t="n"/>
      <c r="K26" s="74" t="inlineStr">
        <is>
          <t>V56</t>
        </is>
      </c>
      <c r="L26" s="75" t="n">
        <v>130775</v>
      </c>
      <c r="M26" s="76" t="n">
        <v>0.0813</v>
      </c>
      <c r="N26" s="77" t="n">
        <v>0.7471</v>
      </c>
    </row>
    <row r="27" ht="18" customHeight="1">
      <c r="A27" s="85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62" t="n"/>
      <c r="K27" s="48" t="n"/>
      <c r="L27" s="48" t="n"/>
      <c r="M27" s="53" t="n"/>
      <c r="N27" s="53" t="n"/>
    </row>
    <row r="28" ht="18" customHeight="1">
      <c r="A28" s="85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62" t="n"/>
      <c r="M28" s="53" t="n"/>
      <c r="N28" s="53" t="n"/>
    </row>
    <row r="29" ht="18" customHeight="1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 ht="18" customHeight="1">
      <c r="A30" s="42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 t="n"/>
    </row>
    <row r="31" ht="18" customHeight="1">
      <c r="A31" s="8" t="inlineStr">
        <is>
          <t>Total</t>
        </is>
      </c>
      <c r="B31" s="261" t="n">
        <v>166220</v>
      </c>
    </row>
    <row r="32" ht="18" customHeight="1">
      <c r="A32" s="12" t="inlineStr">
        <is>
          <t>Top 5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18" customHeight="1">
      <c r="A33" s="14" t="inlineStr">
        <is>
          <t>1er lugar</t>
        </is>
      </c>
      <c r="B33" s="15" t="n"/>
      <c r="C33" s="15" t="inlineStr">
        <is>
          <t>V39</t>
        </is>
      </c>
      <c r="D33" s="30" t="n">
        <v>32232</v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31" t="n">
        <v>0.1939116833112742</v>
      </c>
      <c r="N33" s="31" t="n">
        <v>0.1939116833112742</v>
      </c>
    </row>
    <row r="34" ht="18" customHeight="1">
      <c r="A34" s="14" t="inlineStr">
        <is>
          <t>2o lugar</t>
        </is>
      </c>
      <c r="B34" s="15" t="n"/>
      <c r="C34" s="15" t="n"/>
      <c r="D34" s="15" t="inlineStr">
        <is>
          <t>EDGAR</t>
        </is>
      </c>
      <c r="E34" s="15" t="inlineStr">
        <is>
          <t>FRANCISCO</t>
        </is>
      </c>
      <c r="F34" s="30" t="n">
        <v>24988</v>
      </c>
      <c r="G34" s="15" t="n"/>
      <c r="H34" s="15" t="n"/>
      <c r="I34" s="15" t="n"/>
      <c r="J34" s="15" t="n"/>
      <c r="K34" s="15" t="n"/>
      <c r="L34" s="15" t="n"/>
      <c r="M34" s="31" t="n">
        <v>0.1503308867765612</v>
      </c>
      <c r="N34" s="31" t="n">
        <v>0.3442425700878354</v>
      </c>
    </row>
    <row r="35" ht="18" customHeight="1">
      <c r="A35" s="14" t="inlineStr">
        <is>
          <t>3er lugar</t>
        </is>
      </c>
      <c r="B35" s="15" t="n"/>
      <c r="C35" s="15" t="n"/>
      <c r="D35" s="15" t="n"/>
      <c r="E35" s="15" t="inlineStr">
        <is>
          <t>DEPOSITO</t>
        </is>
      </c>
      <c r="F35" s="15" t="n"/>
      <c r="G35" s="15" t="inlineStr">
        <is>
          <t>JORGE</t>
        </is>
      </c>
      <c r="H35" s="30" t="n">
        <v>23648</v>
      </c>
      <c r="I35" s="15" t="n"/>
      <c r="J35" s="15" t="n"/>
      <c r="K35" s="15" t="n"/>
      <c r="L35" s="15" t="n"/>
      <c r="M35" s="31" t="n">
        <v>0.1422692816748887</v>
      </c>
      <c r="N35" s="31" t="n">
        <v>0.4865118517627241</v>
      </c>
    </row>
    <row r="36" ht="18" customHeight="1">
      <c r="A36" s="14" t="inlineStr">
        <is>
          <t>4o lugar</t>
        </is>
      </c>
      <c r="B36" s="15" t="n"/>
      <c r="C36" s="15" t="n"/>
      <c r="D36" s="15" t="n"/>
      <c r="E36" s="15" t="n"/>
      <c r="F36" s="15" t="inlineStr">
        <is>
          <t>JORGE</t>
        </is>
      </c>
      <c r="G36" s="15" t="n"/>
      <c r="H36" s="15" t="n"/>
      <c r="I36" s="15" t="inlineStr">
        <is>
          <t>DEPOSITO</t>
        </is>
      </c>
      <c r="J36" s="30" t="n">
        <v>19599</v>
      </c>
      <c r="K36" s="15" t="n"/>
      <c r="L36" s="15" t="n"/>
      <c r="M36" s="31" t="n">
        <v>0.1179099987967754</v>
      </c>
      <c r="N36" s="31" t="n">
        <v>0.6044218505594995</v>
      </c>
    </row>
    <row r="37" ht="18" customHeight="1">
      <c r="A37" s="14" t="inlineStr">
        <is>
          <t>5o lugar</t>
        </is>
      </c>
      <c r="B37" s="15" t="n"/>
      <c r="C37" s="15" t="n"/>
      <c r="D37" s="15" t="n"/>
      <c r="E37" s="15" t="n"/>
      <c r="F37" s="15" t="n"/>
      <c r="G37" s="15" t="inlineStr">
        <is>
          <t>FRANCISCO</t>
        </is>
      </c>
      <c r="H37" s="15" t="n"/>
      <c r="I37" s="15" t="n"/>
      <c r="J37" s="15" t="n"/>
      <c r="K37" s="15" t="inlineStr">
        <is>
          <t>EDGAR</t>
        </is>
      </c>
      <c r="L37" s="30" t="n">
        <v>16160</v>
      </c>
      <c r="M37" s="31" t="n">
        <v>0.09722055107688606</v>
      </c>
      <c r="N37" s="31" t="n">
        <v>0.7016424016363855</v>
      </c>
    </row>
    <row r="38" ht="18" customHeight="1"/>
    <row r="39" ht="18" customHeight="1">
      <c r="A39" s="35" t="inlineStr">
        <is>
          <t>COBRANZA EFECTIVA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 ht="18" customHeight="1">
      <c r="A40" s="16" t="inlineStr">
        <is>
          <t>Total</t>
        </is>
      </c>
      <c r="B40" s="262" t="n">
        <v>1228968</v>
      </c>
    </row>
    <row r="41" ht="18" customHeight="1">
      <c r="A41" s="12" t="inlineStr">
        <is>
          <t>Top 5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</row>
    <row r="42" ht="18" customHeight="1">
      <c r="A42" s="14" t="inlineStr">
        <is>
          <t>1er lugar</t>
        </is>
      </c>
      <c r="B42" s="15" t="n"/>
      <c r="C42" s="15" t="inlineStr">
        <is>
          <t>EDGAR</t>
        </is>
      </c>
      <c r="D42" s="30" t="n">
        <v>212099</v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31" t="n">
        <v>0.1725830127391437</v>
      </c>
      <c r="N42" s="31" t="n">
        <v>0.1725830127391437</v>
      </c>
    </row>
    <row r="43" ht="18" customHeight="1">
      <c r="A43" s="14" t="inlineStr">
        <is>
          <t>2o lugar</t>
        </is>
      </c>
      <c r="B43" s="15" t="n"/>
      <c r="C43" s="15" t="n"/>
      <c r="D43" s="15" t="inlineStr">
        <is>
          <t>DEPOSITO</t>
        </is>
      </c>
      <c r="E43" s="15" t="inlineStr">
        <is>
          <t>V6</t>
        </is>
      </c>
      <c r="F43" s="30" t="n">
        <v>142162</v>
      </c>
      <c r="G43" s="15" t="n"/>
      <c r="H43" s="15" t="n"/>
      <c r="I43" s="15" t="n"/>
      <c r="J43" s="15" t="n"/>
      <c r="K43" s="15" t="n"/>
      <c r="L43" s="15" t="n"/>
      <c r="M43" s="31" t="n">
        <v>0.1156759167040965</v>
      </c>
      <c r="N43" s="31" t="n">
        <v>0.2882589294432402</v>
      </c>
    </row>
    <row r="44" ht="18" customHeight="1">
      <c r="A44" s="14" t="inlineStr">
        <is>
          <t>3er lugar</t>
        </is>
      </c>
      <c r="B44" s="15" t="n"/>
      <c r="C44" s="15" t="n"/>
      <c r="D44" s="15" t="n"/>
      <c r="E44" s="15" t="inlineStr">
        <is>
          <t>V1</t>
        </is>
      </c>
      <c r="F44" s="15" t="n"/>
      <c r="G44" s="15" t="inlineStr">
        <is>
          <t>JORGE</t>
        </is>
      </c>
      <c r="H44" s="30" t="n">
        <v>138268</v>
      </c>
      <c r="I44" s="15" t="n"/>
      <c r="J44" s="15" t="n"/>
      <c r="K44" s="15" t="n"/>
      <c r="L44" s="15" t="n"/>
      <c r="M44" s="31" t="n">
        <v>0.1125074045866125</v>
      </c>
      <c r="N44" s="31" t="n">
        <v>0.4007663340298527</v>
      </c>
    </row>
    <row r="45" ht="18" customHeight="1">
      <c r="A45" s="14" t="inlineStr">
        <is>
          <t>4o lugar</t>
        </is>
      </c>
      <c r="B45" s="15" t="n"/>
      <c r="C45" s="15" t="n"/>
      <c r="D45" s="15" t="n"/>
      <c r="E45" s="15" t="n"/>
      <c r="F45" s="15" t="inlineStr">
        <is>
          <t>JORGE</t>
        </is>
      </c>
      <c r="G45" s="15" t="n"/>
      <c r="H45" s="15" t="n"/>
      <c r="I45" s="15" t="inlineStr">
        <is>
          <t>DEPOSITO</t>
        </is>
      </c>
      <c r="J45" s="30" t="n">
        <v>122198</v>
      </c>
      <c r="K45" s="15" t="n"/>
      <c r="L45" s="15" t="n"/>
      <c r="M45" s="31" t="n">
        <v>0.09943139284342635</v>
      </c>
      <c r="N45" s="31" t="n">
        <v>0.500197726873279</v>
      </c>
    </row>
    <row r="46" ht="18" customHeight="1">
      <c r="A46" s="14" t="inlineStr">
        <is>
          <t>5o lugar</t>
        </is>
      </c>
      <c r="B46" s="15" t="n"/>
      <c r="C46" s="15" t="n"/>
      <c r="D46" s="15" t="n"/>
      <c r="E46" s="15" t="n"/>
      <c r="F46" s="15" t="n"/>
      <c r="G46" s="15" t="inlineStr">
        <is>
          <t>FRANCISCO</t>
        </is>
      </c>
      <c r="H46" s="15" t="n"/>
      <c r="I46" s="15" t="n"/>
      <c r="J46" s="15" t="n"/>
      <c r="K46" s="15" t="inlineStr">
        <is>
          <t>FRANCISCO</t>
        </is>
      </c>
      <c r="L46" s="30" t="n">
        <v>117694</v>
      </c>
      <c r="M46" s="31" t="n">
        <v>0.09576652931565346</v>
      </c>
      <c r="N46" s="31" t="n">
        <v>0.5959642561889325</v>
      </c>
    </row>
    <row r="47" ht="18" customHeight="1"/>
    <row r="48" ht="18" customHeight="1">
      <c r="A48" s="35" t="inlineStr">
        <is>
          <t>COBRANZA RECUPERADA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</row>
    <row r="49" ht="18" customHeight="1">
      <c r="A49" s="8" t="inlineStr">
        <is>
          <t>Total</t>
        </is>
      </c>
      <c r="B49" s="261" t="n">
        <v>115277</v>
      </c>
    </row>
    <row r="50" ht="18" customHeight="1">
      <c r="A50" s="12" t="inlineStr">
        <is>
          <t>Top 5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</row>
    <row r="51" ht="18" customHeight="1">
      <c r="A51" s="14" t="inlineStr">
        <is>
          <t>1er lugar</t>
        </is>
      </c>
      <c r="B51" s="15" t="n"/>
      <c r="C51" s="15" t="inlineStr">
        <is>
          <t>V39</t>
        </is>
      </c>
      <c r="D51" s="30" t="n">
        <v>28228</v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31" t="n">
        <v>0.2448710497323837</v>
      </c>
      <c r="N51" s="31" t="n">
        <v>0.2448710497323837</v>
      </c>
    </row>
    <row r="52" ht="18" customHeight="1">
      <c r="A52" s="14" t="inlineStr">
        <is>
          <t>2o lugar</t>
        </is>
      </c>
      <c r="B52" s="15" t="n"/>
      <c r="C52" s="15" t="n"/>
      <c r="D52" s="15" t="inlineStr">
        <is>
          <t>JORGE</t>
        </is>
      </c>
      <c r="E52" s="15" t="inlineStr">
        <is>
          <t>V4</t>
        </is>
      </c>
      <c r="F52" s="30" t="n">
        <v>15999</v>
      </c>
      <c r="G52" s="15" t="n"/>
      <c r="H52" s="15" t="n"/>
      <c r="I52" s="15" t="n"/>
      <c r="J52" s="15" t="n"/>
      <c r="K52" s="15" t="n"/>
      <c r="L52" s="15" t="n"/>
      <c r="M52" s="31" t="n">
        <v>0.1387874424212983</v>
      </c>
      <c r="N52" s="31" t="n">
        <v>0.383658492153682</v>
      </c>
    </row>
    <row r="53" ht="18" customHeight="1">
      <c r="A53" s="14" t="inlineStr">
        <is>
          <t>3er lugar</t>
        </is>
      </c>
      <c r="B53" s="15" t="n"/>
      <c r="C53" s="15" t="n"/>
      <c r="D53" s="15" t="n"/>
      <c r="E53" s="15" t="inlineStr">
        <is>
          <t>EDGAR</t>
        </is>
      </c>
      <c r="F53" s="15" t="n"/>
      <c r="G53" s="15" t="inlineStr">
        <is>
          <t>FRANCISCO</t>
        </is>
      </c>
      <c r="H53" s="30" t="n">
        <v>14928</v>
      </c>
      <c r="I53" s="15" t="n"/>
      <c r="J53" s="15" t="n"/>
      <c r="K53" s="15" t="n"/>
      <c r="L53" s="15" t="n"/>
      <c r="M53" s="31" t="n">
        <v>0.1294967773276543</v>
      </c>
      <c r="N53" s="31" t="n">
        <v>0.5131552694813363</v>
      </c>
    </row>
    <row r="54" ht="18" customHeight="1">
      <c r="A54" s="14" t="inlineStr">
        <is>
          <t>4o lugar</t>
        </is>
      </c>
      <c r="B54" s="15" t="n"/>
      <c r="C54" s="15" t="n"/>
      <c r="D54" s="15" t="n"/>
      <c r="E54" s="15" t="n"/>
      <c r="F54" s="15" t="inlineStr">
        <is>
          <t>FRANCISCO</t>
        </is>
      </c>
      <c r="G54" s="15" t="n"/>
      <c r="H54" s="15" t="n"/>
      <c r="I54" s="15" t="inlineStr">
        <is>
          <t>V39</t>
        </is>
      </c>
      <c r="J54" s="30" t="n">
        <v>13452</v>
      </c>
      <c r="K54" s="15" t="n"/>
      <c r="L54" s="15" t="n"/>
      <c r="M54" s="31" t="n">
        <v>0.1166928355179264</v>
      </c>
      <c r="N54" s="31" t="n">
        <v>0.6298481049992627</v>
      </c>
    </row>
    <row r="55" ht="18" customHeight="1">
      <c r="A55" s="14" t="inlineStr">
        <is>
          <t>5o lugar</t>
        </is>
      </c>
      <c r="B55" s="15" t="n"/>
      <c r="C55" s="15" t="n"/>
      <c r="D55" s="15" t="n"/>
      <c r="E55" s="15" t="n"/>
      <c r="F55" s="15" t="n"/>
      <c r="G55" s="15" t="inlineStr">
        <is>
          <t>DEPOSITO</t>
        </is>
      </c>
      <c r="H55" s="15" t="n"/>
      <c r="I55" s="15" t="n"/>
      <c r="J55" s="15" t="n"/>
      <c r="K55" s="15" t="inlineStr">
        <is>
          <t>EDUARDO</t>
        </is>
      </c>
      <c r="L55" s="30" t="n">
        <v>11551</v>
      </c>
      <c r="M55" s="31" t="n">
        <v>0.1002021218456414</v>
      </c>
      <c r="N55" s="31" t="n">
        <v>0.7300502268449041</v>
      </c>
    </row>
    <row r="56" ht="18" customHeight="1"/>
    <row r="57" ht="18" customHeight="1">
      <c r="A57" s="35" t="inlineStr">
        <is>
          <t>COBRANZA TOTAL GENERAL</t>
        </is>
      </c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</row>
    <row r="58" ht="18" customHeight="1">
      <c r="A58" s="16" t="inlineStr">
        <is>
          <t>Total</t>
        </is>
      </c>
      <c r="B58" s="262" t="n">
        <v>1408644</v>
      </c>
    </row>
    <row r="59" ht="18" customHeight="1">
      <c r="A59" s="12" t="inlineStr">
        <is>
          <t>Top 5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</row>
    <row r="60" ht="18" customHeight="1">
      <c r="A60" s="14" t="inlineStr">
        <is>
          <t>1er lugar</t>
        </is>
      </c>
      <c r="B60" s="15" t="n"/>
      <c r="C60" s="15" t="inlineStr">
        <is>
          <t>EDGAR</t>
        </is>
      </c>
      <c r="D60" s="30" t="n">
        <v>227673</v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31" t="n">
        <v>0.1616256484960004</v>
      </c>
      <c r="N60" s="31" t="n">
        <v>0.1616256484960004</v>
      </c>
    </row>
    <row r="61" ht="18" customHeight="1">
      <c r="A61" s="14" t="inlineStr">
        <is>
          <t>2o lugar</t>
        </is>
      </c>
      <c r="B61" s="15" t="n"/>
      <c r="C61" s="15" t="n"/>
      <c r="D61" s="15" t="inlineStr">
        <is>
          <t>DEPOSITO</t>
        </is>
      </c>
      <c r="E61" s="15" t="inlineStr">
        <is>
          <t>JORGE</t>
        </is>
      </c>
      <c r="F61" s="30" t="n">
        <v>170311</v>
      </c>
      <c r="G61" s="15" t="n"/>
      <c r="H61" s="15" t="n"/>
      <c r="I61" s="15" t="n"/>
      <c r="J61" s="15" t="n"/>
      <c r="K61" s="15" t="n"/>
      <c r="L61" s="15" t="n"/>
      <c r="M61" s="31" t="n">
        <v>0.1209042171052445</v>
      </c>
      <c r="N61" s="31" t="n">
        <v>0.2825298656012449</v>
      </c>
    </row>
    <row r="62" ht="18" customHeight="1">
      <c r="A62" s="14" t="inlineStr">
        <is>
          <t>3er lugar</t>
        </is>
      </c>
      <c r="B62" s="15" t="n"/>
      <c r="C62" s="15" t="n"/>
      <c r="D62" s="15" t="n"/>
      <c r="E62" s="15" t="inlineStr">
        <is>
          <t>JORGE</t>
        </is>
      </c>
      <c r="F62" s="15" t="n"/>
      <c r="G62" s="15" t="inlineStr">
        <is>
          <t>V6</t>
        </is>
      </c>
      <c r="H62" s="30" t="n">
        <v>153967</v>
      </c>
      <c r="I62" s="15" t="n"/>
      <c r="J62" s="15" t="n"/>
      <c r="K62" s="15" t="n"/>
      <c r="L62" s="15" t="n"/>
      <c r="M62" s="31" t="n">
        <v>0.1093015694526083</v>
      </c>
      <c r="N62" s="31" t="n">
        <v>0.3918314350538532</v>
      </c>
    </row>
    <row r="63" ht="18" customHeight="1">
      <c r="A63" s="14" t="inlineStr">
        <is>
          <t>4o lugar</t>
        </is>
      </c>
      <c r="B63" s="15" t="n"/>
      <c r="C63" s="15" t="n"/>
      <c r="D63" s="15" t="n"/>
      <c r="E63" s="15" t="n"/>
      <c r="F63" s="15" t="inlineStr">
        <is>
          <t>V1</t>
        </is>
      </c>
      <c r="G63" s="15" t="n"/>
      <c r="H63" s="15" t="n"/>
      <c r="I63" s="15" t="inlineStr">
        <is>
          <t>DEPOSITO</t>
        </is>
      </c>
      <c r="J63" s="30" t="n">
        <v>141219</v>
      </c>
      <c r="K63" s="15" t="n"/>
      <c r="L63" s="15" t="n"/>
      <c r="M63" s="31" t="n">
        <v>0.1002517314523755</v>
      </c>
      <c r="N63" s="31" t="n">
        <v>0.4920831665062287</v>
      </c>
    </row>
    <row r="64" ht="18" customHeight="1">
      <c r="A64" s="14" t="inlineStr">
        <is>
          <t>5o lugar</t>
        </is>
      </c>
      <c r="B64" s="15" t="n"/>
      <c r="C64" s="15" t="n"/>
      <c r="D64" s="15" t="n"/>
      <c r="E64" s="15" t="n"/>
      <c r="F64" s="15" t="n"/>
      <c r="G64" s="15" t="inlineStr">
        <is>
          <t>FRANCISCO</t>
        </is>
      </c>
      <c r="H64" s="15" t="n"/>
      <c r="I64" s="15" t="n"/>
      <c r="J64" s="15" t="n"/>
      <c r="K64" s="15" t="inlineStr">
        <is>
          <t>FRANCISCO</t>
        </is>
      </c>
      <c r="L64" s="30" t="n">
        <v>134949</v>
      </c>
      <c r="M64" s="31" t="n">
        <v>0.09580064231984803</v>
      </c>
      <c r="N64" s="31" t="n">
        <v>0.5878838088260767</v>
      </c>
    </row>
    <row r="65" ht="18" customHeight="1"/>
    <row r="66" ht="18" customHeight="1">
      <c r="A66" s="35" t="inlineStr">
        <is>
          <t>COBRANZA ADELANTADA F.</t>
        </is>
      </c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</row>
    <row r="67" ht="18" customHeight="1">
      <c r="A67" s="8" t="inlineStr">
        <is>
          <t>Total</t>
        </is>
      </c>
      <c r="B67" s="261" t="n">
        <v>8618</v>
      </c>
    </row>
    <row r="68" ht="18" customHeight="1">
      <c r="A68" s="12" t="inlineStr">
        <is>
          <t>Top 5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 ht="18" customHeight="1">
      <c r="A69" s="14" t="inlineStr">
        <is>
          <t>1er lugar</t>
        </is>
      </c>
      <c r="B69" s="15" t="n"/>
      <c r="C69" s="15" t="inlineStr">
        <is>
          <t>DEPOSITO</t>
        </is>
      </c>
      <c r="D69" s="30" t="n">
        <v>6604</v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31" t="n">
        <v>0.7663030865630076</v>
      </c>
      <c r="N69" s="31" t="n">
        <v>0.7663030865630076</v>
      </c>
    </row>
    <row r="70" ht="18" customHeight="1">
      <c r="A70" s="14" t="inlineStr">
        <is>
          <t>2o lugar</t>
        </is>
      </c>
      <c r="B70" s="15" t="n"/>
      <c r="C70" s="15" t="n"/>
      <c r="D70" s="15" t="n"/>
      <c r="E70" s="15" t="inlineStr">
        <is>
          <t>JORGE</t>
        </is>
      </c>
      <c r="F70" s="30" t="n">
        <v>784</v>
      </c>
      <c r="G70" s="15" t="n"/>
      <c r="H70" s="15" t="n"/>
      <c r="I70" s="15" t="n"/>
      <c r="J70" s="15" t="n"/>
      <c r="K70" s="15" t="n"/>
      <c r="L70" s="15" t="n"/>
      <c r="M70" s="31" t="n">
        <v>0.09097238338361568</v>
      </c>
      <c r="N70" s="31" t="n">
        <v>0.8572754699466233</v>
      </c>
    </row>
    <row r="71" ht="18" customHeight="1">
      <c r="A71" s="14" t="inlineStr">
        <is>
          <t>3er lugar</t>
        </is>
      </c>
      <c r="B71" s="15" t="n"/>
      <c r="C71" s="15" t="n"/>
      <c r="D71" s="15" t="n"/>
      <c r="E71" s="15" t="n"/>
      <c r="F71" s="15" t="n"/>
      <c r="G71" s="15" t="inlineStr">
        <is>
          <t>EDUARDO</t>
        </is>
      </c>
      <c r="H71" s="30" t="n">
        <v>645</v>
      </c>
      <c r="I71" s="15" t="n"/>
      <c r="J71" s="15" t="n"/>
      <c r="K71" s="15" t="n"/>
      <c r="L71" s="15" t="n"/>
      <c r="M71" s="31" t="n">
        <v>0.07484335112555117</v>
      </c>
      <c r="N71" s="31" t="n">
        <v>0.9321188210721745</v>
      </c>
    </row>
    <row r="72" ht="18" customHeight="1">
      <c r="A72" s="14" t="inlineStr">
        <is>
          <t>4o lugar</t>
        </is>
      </c>
      <c r="B72" s="15" t="n"/>
      <c r="C72" s="15" t="n"/>
      <c r="D72" s="15" t="n"/>
      <c r="E72" s="15" t="n"/>
      <c r="F72" s="15" t="n"/>
      <c r="G72" s="15" t="n"/>
      <c r="H72" s="15" t="n"/>
      <c r="I72" s="15" t="inlineStr">
        <is>
          <t>FRANCISCO</t>
        </is>
      </c>
      <c r="J72" s="30" t="n">
        <v>585</v>
      </c>
      <c r="K72" s="15" t="n"/>
      <c r="L72" s="15" t="n"/>
      <c r="M72" s="31" t="n">
        <v>0.06788117892782548</v>
      </c>
      <c r="N72" s="31" t="n">
        <v>1</v>
      </c>
    </row>
    <row r="73" ht="18" customHeight="1">
      <c r="A73" s="14" t="inlineStr">
        <is>
          <t>5o lugar</t>
        </is>
      </c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</row>
    <row r="74" ht="18" customHeight="1"/>
    <row r="75" ht="18" customHeight="1">
      <c r="A75" s="82" t="inlineStr">
        <is>
          <t>PROYECCION ENERO  FEBRERO</t>
        </is>
      </c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</row>
    <row r="76" ht="18" customHeight="1">
      <c r="A76" s="19" t="inlineStr">
        <is>
          <t>Proyeccion FEBRERO</t>
        </is>
      </c>
      <c r="B76" s="263" t="n">
        <v>1158184</v>
      </c>
    </row>
    <row r="77" ht="18" customHeight="1"/>
    <row r="78" ht="18" customHeight="1"/>
    <row r="79" ht="24" customHeight="1">
      <c r="A79" s="277" t="inlineStr">
        <is>
          <t>FEBRERO 2026</t>
        </is>
      </c>
    </row>
    <row r="80" ht="18" customHeight="1">
      <c r="A80" s="5" t="inlineStr">
        <is>
          <t>CONCEPTO</t>
        </is>
      </c>
      <c r="B80" s="5" t="inlineStr">
        <is>
          <t>TOTAL ($)</t>
        </is>
      </c>
      <c r="C80" s="5" t="inlineStr">
        <is>
          <t>TOP 1</t>
        </is>
      </c>
      <c r="D80" s="5" t="inlineStr">
        <is>
          <t>TOP 2</t>
        </is>
      </c>
      <c r="E80" s="5" t="inlineStr">
        <is>
          <t>TOP 3</t>
        </is>
      </c>
      <c r="F80" s="5" t="inlineStr">
        <is>
          <t>TOP 4</t>
        </is>
      </c>
      <c r="G80" s="5" t="inlineStr">
        <is>
          <t>TOP 5</t>
        </is>
      </c>
      <c r="H80" s="5" t="inlineStr">
        <is>
          <t>% TOP 1</t>
        </is>
      </c>
      <c r="I80" s="5" t="inlineStr">
        <is>
          <t>% TOP 2</t>
        </is>
      </c>
      <c r="J80" s="5" t="inlineStr">
        <is>
          <t>% TOP 3</t>
        </is>
      </c>
      <c r="K80" s="5" t="inlineStr">
        <is>
          <t>% TOP 4</t>
        </is>
      </c>
      <c r="L80" s="5" t="inlineStr">
        <is>
          <t>% TOP 5</t>
        </is>
      </c>
      <c r="M80" s="5" t="inlineStr">
        <is>
          <t>% ACUM.</t>
        </is>
      </c>
    </row>
    <row r="81" ht="18" customHeight="1">
      <c r="A81" s="35" t="inlineStr">
        <is>
          <t>DATOS GENERALES</t>
        </is>
      </c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</row>
    <row r="82" ht="18" customHeight="1">
      <c r="A82" s="8" t="inlineStr">
        <is>
          <t>Mes</t>
        </is>
      </c>
      <c r="B82" s="9" t="inlineStr">
        <is>
          <t>FEBRERO</t>
        </is>
      </c>
      <c r="E82" s="8" t="inlineStr">
        <is>
          <t>Año</t>
        </is>
      </c>
      <c r="F82" s="9" t="inlineStr">
        <is>
          <t>2026</t>
        </is>
      </c>
    </row>
    <row r="83" ht="18" customHeight="1">
      <c r="A83" s="8" t="inlineStr">
        <is>
          <t>Fecha de corte</t>
        </is>
      </c>
      <c r="B83" s="10" t="n"/>
      <c r="E83" s="8" t="inlineStr">
        <is>
          <t>Elaboró</t>
        </is>
      </c>
      <c r="F83" s="10" t="n"/>
    </row>
    <row r="84" ht="18" customHeight="1">
      <c r="A84" s="8" t="inlineStr">
        <is>
          <t>Reportado por</t>
        </is>
      </c>
      <c r="B84" s="10" t="n"/>
      <c r="E84" s="8" t="inlineStr">
        <is>
          <t>Cargo</t>
        </is>
      </c>
      <c r="F84" s="10" t="n"/>
    </row>
    <row r="85" ht="18" customHeight="1"/>
    <row r="86" ht="18" customHeight="1">
      <c r="A86" s="35" t="inlineStr">
        <is>
          <t>COBRANZA CORRIENTE</t>
        </is>
      </c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</row>
    <row r="87" ht="18" customHeight="1">
      <c r="A87" s="8" t="inlineStr">
        <is>
          <t>Total</t>
        </is>
      </c>
      <c r="B87" s="11" t="n">
        <v>1251614</v>
      </c>
    </row>
    <row r="88" ht="18" customHeight="1">
      <c r="A88" s="12" t="inlineStr">
        <is>
          <t>Top 5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</row>
    <row r="89" ht="18" customHeight="1">
      <c r="A89" s="14" t="inlineStr">
        <is>
          <t>1er lugar</t>
        </is>
      </c>
      <c r="B89" s="15" t="n">
        <v>207793</v>
      </c>
      <c r="C89" s="15" t="inlineStr">
        <is>
          <t>V1</t>
        </is>
      </c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 ht="18" customHeight="1">
      <c r="A90" s="14" t="inlineStr">
        <is>
          <t>2o lugar</t>
        </is>
      </c>
      <c r="B90" s="15" t="n">
        <v>198234</v>
      </c>
      <c r="C90" s="15" t="n"/>
      <c r="D90" s="15" t="inlineStr">
        <is>
          <t>V6</t>
        </is>
      </c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 ht="18" customHeight="1">
      <c r="A91" s="14" t="inlineStr">
        <is>
          <t>3er lugar</t>
        </is>
      </c>
      <c r="B91" s="15" t="n">
        <v>156891</v>
      </c>
      <c r="C91" s="15" t="n"/>
      <c r="D91" s="15" t="n"/>
      <c r="E91" s="15" t="inlineStr">
        <is>
          <t>V39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 ht="18" customHeight="1">
      <c r="A92" s="14" t="inlineStr">
        <is>
          <t>4o lugar</t>
        </is>
      </c>
      <c r="B92" s="15" t="n">
        <v>142567</v>
      </c>
      <c r="C92" s="15" t="n"/>
      <c r="D92" s="15" t="n"/>
      <c r="E92" s="15" t="n"/>
      <c r="F92" s="15" t="inlineStr">
        <is>
          <t>V38</t>
        </is>
      </c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 ht="18" customHeight="1">
      <c r="A93" s="14" t="inlineStr">
        <is>
          <t>5o lugar</t>
        </is>
      </c>
      <c r="B93" s="15" t="n">
        <v>98765</v>
      </c>
      <c r="C93" s="15" t="n"/>
      <c r="D93" s="15" t="n"/>
      <c r="E93" s="15" t="n"/>
      <c r="F93" s="15" t="n"/>
      <c r="G93" s="15" t="inlineStr">
        <is>
          <t>V27</t>
        </is>
      </c>
      <c r="H93" s="15" t="n"/>
      <c r="I93" s="15" t="n"/>
      <c r="J93" s="15" t="n"/>
      <c r="K93" s="15" t="n"/>
      <c r="L93" s="15" t="n"/>
      <c r="M93" s="15" t="n"/>
      <c r="N93" s="15" t="n"/>
    </row>
    <row r="94" ht="18" customHeight="1"/>
    <row r="95" ht="18" customHeight="1">
      <c r="A95" s="35" t="inlineStr">
        <is>
          <t>CANCELACIONES</t>
        </is>
      </c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</row>
    <row r="96" ht="18" customHeight="1">
      <c r="A96" s="16" t="inlineStr">
        <is>
          <t>Total</t>
        </is>
      </c>
      <c r="B96" s="17" t="n">
        <v>127110</v>
      </c>
    </row>
    <row r="97" ht="18" customHeight="1">
      <c r="A97" s="12" t="inlineStr">
        <is>
          <t>Top 5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</row>
    <row r="98" ht="18" customHeight="1">
      <c r="A98" s="14" t="inlineStr">
        <is>
          <t>1er lugar</t>
        </is>
      </c>
      <c r="B98" s="15" t="n">
        <v>21035</v>
      </c>
      <c r="C98" s="15" t="inlineStr">
        <is>
          <t>V38</t>
        </is>
      </c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</row>
    <row r="99" ht="18" customHeight="1">
      <c r="A99" s="14" t="inlineStr">
        <is>
          <t>2o lugar</t>
        </is>
      </c>
      <c r="B99" s="15" t="n">
        <v>17664</v>
      </c>
      <c r="C99" s="15" t="n"/>
      <c r="D99" s="15" t="inlineStr">
        <is>
          <t>V56</t>
        </is>
      </c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</row>
    <row r="100" ht="18" customHeight="1">
      <c r="A100" s="14" t="inlineStr">
        <is>
          <t>3er lugar</t>
        </is>
      </c>
      <c r="B100" s="15" t="n">
        <v>15924</v>
      </c>
      <c r="C100" s="15" t="n"/>
      <c r="D100" s="15" t="n"/>
      <c r="E100" s="15" t="inlineStr">
        <is>
          <t>V6</t>
        </is>
      </c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</row>
    <row r="101" ht="18" customHeight="1">
      <c r="A101" s="14" t="inlineStr">
        <is>
          <t>4o lugar</t>
        </is>
      </c>
      <c r="B101" s="15" t="n">
        <v>14374</v>
      </c>
      <c r="C101" s="15" t="n"/>
      <c r="D101" s="15" t="n"/>
      <c r="E101" s="15" t="n"/>
      <c r="F101" s="15" t="inlineStr">
        <is>
          <t>V84</t>
        </is>
      </c>
      <c r="G101" s="15" t="n"/>
      <c r="H101" s="15" t="n"/>
      <c r="I101" s="15" t="n"/>
      <c r="J101" s="15" t="n"/>
      <c r="K101" s="15" t="n"/>
      <c r="L101" s="15" t="n"/>
      <c r="M101" s="15" t="n"/>
      <c r="N101" s="15" t="n"/>
    </row>
    <row r="102" ht="18" customHeight="1">
      <c r="A102" s="14" t="inlineStr">
        <is>
          <t>5o lugar</t>
        </is>
      </c>
      <c r="B102" s="15" t="n">
        <v>12431</v>
      </c>
      <c r="C102" s="15" t="n"/>
      <c r="D102" s="15" t="n"/>
      <c r="E102" s="15" t="n"/>
      <c r="F102" s="15" t="n"/>
      <c r="G102" s="15" t="inlineStr">
        <is>
          <t>V39</t>
        </is>
      </c>
      <c r="H102" s="15" t="n"/>
      <c r="I102" s="15" t="n"/>
      <c r="J102" s="15" t="n"/>
      <c r="K102" s="15" t="n"/>
      <c r="L102" s="15" t="n"/>
      <c r="M102" s="15" t="n"/>
      <c r="N102" s="15" t="n"/>
    </row>
    <row r="103" ht="18" customHeight="1"/>
    <row r="104" ht="18" customHeight="1">
      <c r="A104" s="35" t="inlineStr">
        <is>
          <t>COBRANZA VENCIDA</t>
        </is>
      </c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</row>
    <row r="105" ht="18" customHeight="1">
      <c r="A105" s="8" t="inlineStr">
        <is>
          <t>Total</t>
        </is>
      </c>
      <c r="B105" s="11" t="n">
        <v>251487.31</v>
      </c>
    </row>
    <row r="106" ht="18" customHeight="1">
      <c r="A106" s="12" t="inlineStr">
        <is>
          <t>Top 5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</row>
    <row r="107" ht="18" customHeight="1">
      <c r="A107" s="14" t="inlineStr">
        <is>
          <t>1er lugar</t>
        </is>
      </c>
      <c r="B107" s="15" t="n">
        <v>70796.5</v>
      </c>
      <c r="C107" s="15" t="inlineStr">
        <is>
          <t>V39 JOSE</t>
        </is>
      </c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>
        <v>0.2815</v>
      </c>
      <c r="N107" s="15" t="n">
        <v>0.2815</v>
      </c>
    </row>
    <row r="108" ht="18" customHeight="1">
      <c r="A108" s="14" t="inlineStr">
        <is>
          <t>2o lugar</t>
        </is>
      </c>
      <c r="B108" s="15" t="n">
        <v>40169</v>
      </c>
      <c r="C108" s="15" t="n"/>
      <c r="D108" s="15" t="inlineStr">
        <is>
          <t>JORGE</t>
        </is>
      </c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>
        <v>0.1597</v>
      </c>
      <c r="N108" s="15" t="n">
        <v>0.4412</v>
      </c>
    </row>
    <row r="109" ht="18" customHeight="1">
      <c r="A109" s="14" t="inlineStr">
        <is>
          <t>3er lugar</t>
        </is>
      </c>
      <c r="B109" s="15" t="n">
        <v>35046</v>
      </c>
      <c r="C109" s="15" t="n"/>
      <c r="D109" s="15" t="n"/>
      <c r="E109" s="15" t="inlineStr">
        <is>
          <t>EDGAR</t>
        </is>
      </c>
      <c r="F109" s="15" t="n"/>
      <c r="G109" s="15" t="n"/>
      <c r="H109" s="15" t="n">
        <v>35046</v>
      </c>
      <c r="I109" s="15" t="n"/>
      <c r="J109" s="15" t="n"/>
      <c r="K109" s="15" t="n"/>
      <c r="L109" s="15" t="n"/>
      <c r="M109" s="15" t="n">
        <v>0.1394</v>
      </c>
      <c r="N109" s="15" t="n">
        <v>0.5806</v>
      </c>
    </row>
    <row r="110" ht="18" customHeight="1">
      <c r="A110" s="14" t="inlineStr">
        <is>
          <t>4o lugar</t>
        </is>
      </c>
      <c r="B110" s="15" t="n">
        <v>34647</v>
      </c>
      <c r="C110" s="15" t="n"/>
      <c r="D110" s="15" t="n"/>
      <c r="E110" s="15" t="n"/>
      <c r="F110" s="15" t="inlineStr">
        <is>
          <t>FRANCISCO</t>
        </is>
      </c>
      <c r="G110" s="15" t="n"/>
      <c r="H110" s="15" t="n"/>
      <c r="I110" s="15" t="inlineStr">
        <is>
          <t>FRANCISCO</t>
        </is>
      </c>
      <c r="J110" s="15" t="n">
        <v>34647</v>
      </c>
      <c r="K110" s="15" t="n"/>
      <c r="L110" s="15" t="n"/>
      <c r="M110" s="15" t="n">
        <v>0.1378</v>
      </c>
      <c r="N110" s="15" t="n">
        <v>0.7184</v>
      </c>
    </row>
    <row r="111" ht="18" customHeight="1">
      <c r="A111" s="14" t="inlineStr">
        <is>
          <t>5o lugar</t>
        </is>
      </c>
      <c r="B111" s="15" t="n">
        <v>24103.81</v>
      </c>
      <c r="C111" s="15" t="n"/>
      <c r="D111" s="15" t="n"/>
      <c r="E111" s="15" t="n"/>
      <c r="F111" s="15" t="n"/>
      <c r="G111" s="15" t="inlineStr">
        <is>
          <t>DEPOSITO</t>
        </is>
      </c>
      <c r="H111" s="15" t="n"/>
      <c r="I111" s="15" t="n"/>
      <c r="J111" s="15" t="n"/>
      <c r="K111" s="15" t="inlineStr">
        <is>
          <t>DEPOSITO</t>
        </is>
      </c>
      <c r="L111" s="15" t="n">
        <v>24103.81</v>
      </c>
      <c r="M111" s="15" t="n">
        <v>0.0958</v>
      </c>
      <c r="N111" s="15" t="n">
        <v>0.8142</v>
      </c>
    </row>
    <row r="112" ht="18" customHeight="1"/>
    <row r="113" ht="18" customHeight="1">
      <c r="A113" s="35" t="inlineStr">
        <is>
          <t>COBRANZA EFECTIVA</t>
        </is>
      </c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</row>
    <row r="114" ht="18" customHeight="1">
      <c r="A114" s="16" t="inlineStr">
        <is>
          <t>Total</t>
        </is>
      </c>
      <c r="B114" s="17" t="n">
        <v>1131182</v>
      </c>
    </row>
    <row r="115" ht="18" customHeight="1">
      <c r="A115" s="12" t="inlineStr">
        <is>
          <t>Top 5</t>
        </is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</row>
    <row r="116" ht="18" customHeight="1">
      <c r="A116" s="14" t="inlineStr">
        <is>
          <t>1er lugar</t>
        </is>
      </c>
      <c r="B116" s="15" t="n">
        <v>150839</v>
      </c>
      <c r="C116" s="15" t="inlineStr">
        <is>
          <t>EDGAR</t>
        </is>
      </c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</row>
    <row r="117" ht="18" customHeight="1">
      <c r="A117" s="14" t="inlineStr">
        <is>
          <t>2o lugar</t>
        </is>
      </c>
      <c r="B117" s="15" t="n">
        <v>140739</v>
      </c>
      <c r="C117" s="15" t="n"/>
      <c r="D117" s="15" t="inlineStr">
        <is>
          <t>FRANCISCO</t>
        </is>
      </c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</row>
    <row r="118" ht="18" customHeight="1">
      <c r="A118" s="14" t="inlineStr">
        <is>
          <t>3er lugar</t>
        </is>
      </c>
      <c r="B118" s="15" t="n">
        <v>91742</v>
      </c>
      <c r="C118" s="15" t="n"/>
      <c r="D118" s="15" t="n"/>
      <c r="E118" s="15" t="inlineStr">
        <is>
          <t>EDUARDO</t>
        </is>
      </c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</row>
    <row r="119" ht="18" customHeight="1">
      <c r="A119" s="14" t="inlineStr">
        <is>
          <t>4o lugar</t>
        </is>
      </c>
      <c r="B119" s="15" t="n">
        <v>88710</v>
      </c>
      <c r="C119" s="15" t="n"/>
      <c r="D119" s="15" t="n"/>
      <c r="E119" s="15" t="n"/>
      <c r="F119" s="15" t="inlineStr">
        <is>
          <t>JORGE</t>
        </is>
      </c>
      <c r="G119" s="15" t="n"/>
      <c r="H119" s="15" t="n"/>
      <c r="I119" s="15" t="n"/>
      <c r="J119" s="15" t="n"/>
      <c r="K119" s="15" t="n"/>
      <c r="L119" s="15" t="n"/>
      <c r="M119" s="15" t="n"/>
      <c r="N119" s="15" t="n"/>
    </row>
    <row r="120" ht="18" customHeight="1">
      <c r="A120" s="14" t="inlineStr">
        <is>
          <t>5o lugar</t>
        </is>
      </c>
      <c r="B120" s="15" t="n">
        <v>73492</v>
      </c>
      <c r="C120" s="15" t="n"/>
      <c r="D120" s="15" t="n"/>
      <c r="E120" s="15" t="n"/>
      <c r="F120" s="15" t="n"/>
      <c r="G120" s="15" t="inlineStr">
        <is>
          <t>DEPOSITO</t>
        </is>
      </c>
      <c r="H120" s="15" t="n"/>
      <c r="I120" s="15" t="n"/>
      <c r="J120" s="15" t="n"/>
      <c r="K120" s="15" t="n"/>
      <c r="L120" s="15" t="n"/>
      <c r="M120" s="15" t="n"/>
      <c r="N120" s="15" t="n"/>
    </row>
    <row r="121" ht="18" customHeight="1"/>
    <row r="122" ht="18" customHeight="1">
      <c r="A122" s="35" t="inlineStr">
        <is>
          <t>COBRANZA RECUPERADA</t>
        </is>
      </c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</row>
    <row r="123" ht="18" customHeight="1">
      <c r="A123" s="8" t="inlineStr">
        <is>
          <t>Total</t>
        </is>
      </c>
      <c r="B123" s="11" t="n">
        <v>94027</v>
      </c>
    </row>
    <row r="124" ht="18" customHeight="1">
      <c r="A124" s="12" t="inlineStr">
        <is>
          <t>Top 5</t>
        </is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</row>
    <row r="125" ht="18" customHeight="1">
      <c r="A125" s="14" t="inlineStr">
        <is>
          <t>1er lugar</t>
        </is>
      </c>
      <c r="B125" s="15" t="n">
        <v>29999</v>
      </c>
      <c r="C125" s="15" t="inlineStr">
        <is>
          <t>V1</t>
        </is>
      </c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</row>
    <row r="126" ht="18" customHeight="1">
      <c r="A126" s="14" t="inlineStr">
        <is>
          <t>2o lugar</t>
        </is>
      </c>
      <c r="B126" s="15" t="n">
        <v>21234</v>
      </c>
      <c r="C126" s="15" t="n"/>
      <c r="D126" s="15" t="inlineStr">
        <is>
          <t>EDGAR</t>
        </is>
      </c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</row>
    <row r="127" ht="18" customHeight="1">
      <c r="A127" s="14" t="inlineStr">
        <is>
          <t>3er lugar</t>
        </is>
      </c>
      <c r="B127" s="15" t="n">
        <v>15987</v>
      </c>
      <c r="C127" s="15" t="n"/>
      <c r="D127" s="15" t="n"/>
      <c r="E127" s="15" t="inlineStr">
        <is>
          <t>DEPOSITO</t>
        </is>
      </c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</row>
    <row r="128" ht="18" customHeight="1">
      <c r="A128" s="14" t="inlineStr">
        <is>
          <t>4o lugar</t>
        </is>
      </c>
      <c r="B128" s="15" t="n">
        <v>13456</v>
      </c>
      <c r="C128" s="15" t="n"/>
      <c r="D128" s="15" t="n"/>
      <c r="E128" s="15" t="n"/>
      <c r="F128" s="15" t="inlineStr">
        <is>
          <t>V39</t>
        </is>
      </c>
      <c r="G128" s="15" t="n"/>
      <c r="H128" s="15" t="n"/>
      <c r="I128" s="15" t="n"/>
      <c r="J128" s="15" t="n"/>
      <c r="K128" s="15" t="n"/>
      <c r="L128" s="15" t="n"/>
      <c r="M128" s="15" t="n"/>
      <c r="N128" s="15" t="n"/>
    </row>
    <row r="129" ht="18" customHeight="1">
      <c r="A129" s="14" t="inlineStr">
        <is>
          <t>5o lugar</t>
        </is>
      </c>
      <c r="B129" s="15" t="n">
        <v>11023</v>
      </c>
      <c r="C129" s="15" t="n"/>
      <c r="D129" s="15" t="n"/>
      <c r="E129" s="15" t="n"/>
      <c r="F129" s="15" t="n"/>
      <c r="G129" s="15" t="inlineStr">
        <is>
          <t>EDUARDO</t>
        </is>
      </c>
      <c r="H129" s="15" t="n"/>
      <c r="I129" s="15" t="n"/>
      <c r="J129" s="15" t="n"/>
      <c r="K129" s="15" t="n"/>
      <c r="L129" s="15" t="n"/>
      <c r="M129" s="15" t="n"/>
      <c r="N129" s="15" t="n"/>
    </row>
    <row r="130" ht="18" customHeight="1"/>
    <row r="131" ht="18" customHeight="1">
      <c r="A131" s="35" t="inlineStr">
        <is>
          <t>COBRANZA TOTAL GENERAL</t>
        </is>
      </c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</row>
    <row r="132" ht="18" customHeight="1">
      <c r="A132" s="16" t="inlineStr">
        <is>
          <t>Total</t>
        </is>
      </c>
      <c r="B132" s="17" t="n">
        <v>1251614</v>
      </c>
    </row>
    <row r="133" ht="18" customHeight="1">
      <c r="A133" s="12" t="inlineStr">
        <is>
          <t>Top 5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</row>
    <row r="134" ht="18" customHeight="1">
      <c r="A134" s="14" t="inlineStr">
        <is>
          <t>1er lugar</t>
        </is>
      </c>
      <c r="B134" s="15" t="n">
        <v>227673</v>
      </c>
      <c r="C134" s="15" t="inlineStr">
        <is>
          <t>EDGAR</t>
        </is>
      </c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 ht="18" customHeight="1">
      <c r="A135" s="14" t="inlineStr">
        <is>
          <t>2o lugar</t>
        </is>
      </c>
      <c r="B135" s="15" t="n">
        <v>170311</v>
      </c>
      <c r="C135" s="15" t="n"/>
      <c r="D135" s="15" t="inlineStr">
        <is>
          <t>JORGE</t>
        </is>
      </c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</row>
    <row r="136" ht="18" customHeight="1">
      <c r="A136" s="14" t="inlineStr">
        <is>
          <t>3er lugar</t>
        </is>
      </c>
      <c r="B136" s="15" t="n">
        <v>153967</v>
      </c>
      <c r="C136" s="15" t="n"/>
      <c r="D136" s="15" t="n"/>
      <c r="E136" s="15" t="inlineStr">
        <is>
          <t>V6</t>
        </is>
      </c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</row>
    <row r="137" ht="18" customHeight="1">
      <c r="A137" s="14" t="inlineStr">
        <is>
          <t>4o lugar</t>
        </is>
      </c>
      <c r="B137" s="15" t="n">
        <v>141219</v>
      </c>
      <c r="C137" s="15" t="n"/>
      <c r="D137" s="15" t="n"/>
      <c r="E137" s="15" t="n"/>
      <c r="F137" s="15" t="inlineStr">
        <is>
          <t>DEPOSITO</t>
        </is>
      </c>
      <c r="G137" s="15" t="n"/>
      <c r="H137" s="15" t="n"/>
      <c r="I137" s="15" t="n"/>
      <c r="J137" s="15" t="n"/>
      <c r="K137" s="15" t="n"/>
      <c r="L137" s="15" t="n"/>
      <c r="M137" s="15" t="n"/>
      <c r="N137" s="15" t="n"/>
    </row>
    <row r="138" ht="18" customHeight="1">
      <c r="A138" s="14" t="inlineStr">
        <is>
          <t>5o lugar</t>
        </is>
      </c>
      <c r="B138" s="15" t="n">
        <v>134949</v>
      </c>
      <c r="C138" s="15" t="n"/>
      <c r="D138" s="15" t="n"/>
      <c r="E138" s="15" t="n"/>
      <c r="F138" s="15" t="n"/>
      <c r="G138" s="15" t="inlineStr">
        <is>
          <t>FRANCISCO</t>
        </is>
      </c>
      <c r="H138" s="15" t="n"/>
      <c r="I138" s="15" t="n"/>
      <c r="J138" s="15" t="n"/>
      <c r="K138" s="15" t="n"/>
      <c r="L138" s="15" t="n"/>
      <c r="M138" s="15" t="n"/>
      <c r="N138" s="15" t="n"/>
    </row>
    <row r="139" ht="18" customHeight="1">
      <c r="B139" t="n">
        <v>0</v>
      </c>
    </row>
    <row r="140" ht="18" customHeight="1">
      <c r="A140" s="35" t="inlineStr">
        <is>
          <t>COBRANZA ADELANTADA F.</t>
        </is>
      </c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</row>
    <row r="141" ht="18" customHeight="1">
      <c r="A141" s="8" t="inlineStr">
        <is>
          <t>Total</t>
        </is>
      </c>
      <c r="B141" s="11" t="n">
        <v>0</v>
      </c>
    </row>
    <row r="142" ht="18" customHeight="1">
      <c r="A142" s="12" t="inlineStr">
        <is>
          <t>Top 5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</row>
    <row r="143" ht="18" customHeight="1">
      <c r="A143" s="14" t="inlineStr">
        <is>
          <t>1er lugar</t>
        </is>
      </c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</row>
    <row r="144" ht="18" customHeight="1">
      <c r="A144" s="14" t="inlineStr">
        <is>
          <t>2o lugar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</row>
    <row r="145" ht="18" customHeight="1">
      <c r="A145" s="14" t="inlineStr">
        <is>
          <t>3er lugar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</row>
    <row r="146" ht="18" customHeight="1">
      <c r="A146" s="14" t="inlineStr">
        <is>
          <t>4o lugar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</row>
    <row r="147" ht="18" customHeight="1">
      <c r="A147" s="14" t="inlineStr">
        <is>
          <t>5o lugar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</row>
    <row r="148" ht="18" customHeight="1"/>
    <row r="149" ht="18" customHeight="1">
      <c r="A149" s="82" t="inlineStr">
        <is>
          <t>PROYECCIÓN FEBRERO → FEBRERO</t>
        </is>
      </c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</row>
    <row r="150" ht="18" customHeight="1">
      <c r="A150" s="19" t="inlineStr">
        <is>
          <t>Proyección FEBRERO</t>
        </is>
      </c>
      <c r="B150" s="20" t="n">
        <v>1158184</v>
      </c>
    </row>
    <row r="151" ht="18" customHeight="1"/>
    <row r="152" ht="18" customHeight="1"/>
    <row r="153" ht="24" customHeight="1">
      <c r="A153" s="277" t="inlineStr">
        <is>
          <t>MARZO 2026</t>
        </is>
      </c>
    </row>
    <row r="154" ht="18" customHeight="1">
      <c r="A154" s="278" t="inlineStr">
        <is>
          <t>CONCEPTO</t>
        </is>
      </c>
      <c r="B154" s="5" t="inlineStr">
        <is>
          <t>TOTAL ($)</t>
        </is>
      </c>
      <c r="C154" s="5" t="inlineStr">
        <is>
          <t>TOP 1</t>
        </is>
      </c>
      <c r="D154" s="5" t="inlineStr">
        <is>
          <t>TOP 2</t>
        </is>
      </c>
      <c r="E154" s="5" t="inlineStr">
        <is>
          <t>TOP 3</t>
        </is>
      </c>
      <c r="F154" s="5" t="inlineStr">
        <is>
          <t>TOP 4</t>
        </is>
      </c>
      <c r="G154" s="5" t="inlineStr">
        <is>
          <t>TOP 5</t>
        </is>
      </c>
      <c r="H154" s="5" t="inlineStr">
        <is>
          <t>% TOP 1</t>
        </is>
      </c>
      <c r="I154" s="5" t="inlineStr">
        <is>
          <t>% TOP 2</t>
        </is>
      </c>
      <c r="J154" s="5" t="inlineStr">
        <is>
          <t>% TOP 3</t>
        </is>
      </c>
      <c r="K154" s="5" t="inlineStr">
        <is>
          <t>% TOP 4</t>
        </is>
      </c>
      <c r="L154" s="5" t="inlineStr">
        <is>
          <t>% TOP 5</t>
        </is>
      </c>
      <c r="M154" s="5" t="inlineStr">
        <is>
          <t>% ACUM.</t>
        </is>
      </c>
    </row>
    <row r="155" ht="18" customHeight="1">
      <c r="A155" s="279" t="inlineStr">
        <is>
          <t>DATOS GENERALES</t>
        </is>
      </c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</row>
    <row r="156" ht="18" customHeight="1">
      <c r="A156" s="278" t="inlineStr">
        <is>
          <t>Mes</t>
        </is>
      </c>
      <c r="B156" s="9" t="inlineStr">
        <is>
          <t>MARZO</t>
        </is>
      </c>
      <c r="E156" s="8" t="inlineStr">
        <is>
          <t>Año</t>
        </is>
      </c>
      <c r="F156" s="9" t="inlineStr">
        <is>
          <t>2026</t>
        </is>
      </c>
    </row>
    <row r="157" ht="18" customHeight="1">
      <c r="A157" s="278" t="inlineStr">
        <is>
          <t>Fecha de corte</t>
        </is>
      </c>
      <c r="B157" s="10" t="n"/>
      <c r="E157" s="8" t="inlineStr">
        <is>
          <t>Elaboró</t>
        </is>
      </c>
      <c r="F157" s="10" t="n"/>
    </row>
    <row r="158" ht="18" customHeight="1">
      <c r="A158" s="278" t="inlineStr">
        <is>
          <t>Reportado por</t>
        </is>
      </c>
      <c r="B158" s="10" t="n"/>
      <c r="E158" s="8" t="inlineStr">
        <is>
          <t>Cargo</t>
        </is>
      </c>
      <c r="F158" s="10" t="n"/>
    </row>
    <row r="159" ht="18" customHeight="1"/>
    <row r="160" ht="18" customHeight="1">
      <c r="A160" s="280" t="inlineStr">
        <is>
          <t>COBRANZA CORRIENTE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</row>
    <row r="161" ht="18" customHeight="1">
      <c r="A161" s="281" t="inlineStr">
        <is>
          <t>Total</t>
        </is>
      </c>
      <c r="B161" s="282" t="n">
        <v>1503969</v>
      </c>
    </row>
    <row r="162" ht="18" customHeight="1">
      <c r="A162" s="283" t="inlineStr">
        <is>
          <t>Top 5</t>
        </is>
      </c>
      <c r="C162" s="284" t="n"/>
      <c r="D162" s="284" t="n"/>
      <c r="E162" s="284" t="n"/>
      <c r="F162" s="284" t="n"/>
      <c r="G162" s="284" t="n"/>
      <c r="H162" s="13" t="n"/>
      <c r="I162" s="13" t="n"/>
      <c r="J162" s="13" t="n"/>
      <c r="K162" s="13" t="n"/>
      <c r="L162" s="13" t="n"/>
      <c r="M162" s="13" t="n"/>
      <c r="N162" s="13" t="n"/>
    </row>
    <row r="163" ht="18" customHeight="1">
      <c r="A163" s="285" t="inlineStr">
        <is>
          <t>1er</t>
        </is>
      </c>
      <c r="B163" s="286" t="n">
        <v>324822</v>
      </c>
      <c r="C163" s="287" t="inlineStr">
        <is>
          <t>V1</t>
        </is>
      </c>
      <c r="D163" s="287" t="n"/>
      <c r="E163" s="287" t="n"/>
      <c r="F163" s="287" t="n"/>
      <c r="G163" s="287" t="n"/>
      <c r="H163" s="15" t="n"/>
      <c r="I163" s="15" t="n"/>
      <c r="J163" s="15" t="n"/>
      <c r="K163" s="15" t="n"/>
      <c r="L163" s="15" t="n"/>
      <c r="M163" s="15" t="n"/>
      <c r="N163" s="15" t="n"/>
    </row>
    <row r="164" ht="18" customHeight="1">
      <c r="A164" s="285" t="inlineStr">
        <is>
          <t>2o</t>
        </is>
      </c>
      <c r="B164" s="286" t="n">
        <v>293341</v>
      </c>
      <c r="C164" s="287" t="n"/>
      <c r="D164" s="287" t="inlineStr">
        <is>
          <t>V6</t>
        </is>
      </c>
      <c r="E164" s="287" t="n"/>
      <c r="F164" s="287" t="n"/>
      <c r="G164" s="287" t="n"/>
      <c r="H164" s="15" t="n"/>
      <c r="I164" s="15" t="n"/>
      <c r="J164" s="15" t="n"/>
      <c r="K164" s="15" t="n"/>
      <c r="L164" s="15" t="n"/>
      <c r="M164" s="15" t="n"/>
      <c r="N164" s="15" t="n"/>
    </row>
    <row r="165" ht="18" customHeight="1">
      <c r="A165" s="285" t="inlineStr">
        <is>
          <t>3er</t>
        </is>
      </c>
      <c r="B165" s="286" t="n">
        <v>193535</v>
      </c>
      <c r="C165" s="287" t="n"/>
      <c r="D165" s="287" t="n"/>
      <c r="E165" s="287" t="inlineStr">
        <is>
          <t>V38</t>
        </is>
      </c>
      <c r="F165" s="287" t="n"/>
      <c r="G165" s="287" t="n"/>
      <c r="H165" s="15" t="n"/>
      <c r="I165" s="15" t="n"/>
      <c r="J165" s="15" t="n"/>
      <c r="K165" s="15" t="n"/>
      <c r="L165" s="15" t="n"/>
      <c r="M165" s="15" t="n"/>
      <c r="N165" s="15" t="n"/>
    </row>
    <row r="166" ht="18" customHeight="1">
      <c r="A166" s="285" t="inlineStr">
        <is>
          <t>4o</t>
        </is>
      </c>
      <c r="B166" s="286" t="n">
        <v>175043</v>
      </c>
      <c r="C166" s="287" t="n"/>
      <c r="D166" s="287" t="n"/>
      <c r="E166" s="287" t="n"/>
      <c r="F166" s="287" t="inlineStr">
        <is>
          <t>V39</t>
        </is>
      </c>
      <c r="G166" s="287" t="n"/>
      <c r="H166" s="15" t="n"/>
      <c r="I166" s="15" t="n"/>
      <c r="J166" s="15" t="n"/>
      <c r="K166" s="15" t="n"/>
      <c r="L166" s="15" t="n"/>
      <c r="M166" s="15" t="n"/>
      <c r="N166" s="15" t="n"/>
    </row>
    <row r="167" ht="18" customHeight="1">
      <c r="A167" s="285" t="inlineStr">
        <is>
          <t>5o</t>
        </is>
      </c>
      <c r="B167" s="286" t="n">
        <v>126905</v>
      </c>
      <c r="C167" s="287" t="n"/>
      <c r="D167" s="287" t="n"/>
      <c r="E167" s="287" t="n"/>
      <c r="F167" s="287" t="n"/>
      <c r="G167" s="287" t="inlineStr">
        <is>
          <t>V27</t>
        </is>
      </c>
      <c r="H167" s="15" t="n"/>
      <c r="I167" s="15" t="n"/>
      <c r="J167" s="15" t="n"/>
      <c r="K167" s="15" t="n"/>
      <c r="L167" s="15" t="n"/>
      <c r="M167" s="15" t="n"/>
      <c r="N167" s="15" t="n"/>
    </row>
    <row r="168" ht="18" customHeight="1"/>
    <row r="169" ht="18" customHeight="1">
      <c r="A169" s="280" t="inlineStr">
        <is>
          <t>CANCELACIONES</t>
        </is>
      </c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</row>
    <row r="170" ht="18" customHeight="1">
      <c r="A170" s="281" t="inlineStr">
        <is>
          <t>Total</t>
        </is>
      </c>
      <c r="B170" s="282" t="n">
        <v>106825</v>
      </c>
    </row>
    <row r="171" ht="18" customHeight="1">
      <c r="A171" s="283" t="inlineStr">
        <is>
          <t>Top 5</t>
        </is>
      </c>
      <c r="C171" s="284" t="n"/>
      <c r="D171" s="284" t="n"/>
      <c r="E171" s="284" t="n"/>
      <c r="F171" s="284" t="n"/>
      <c r="G171" s="284" t="n"/>
      <c r="H171" s="13" t="n"/>
      <c r="I171" s="13" t="n"/>
      <c r="J171" s="13" t="n"/>
      <c r="K171" s="13" t="n"/>
      <c r="L171" s="13" t="n"/>
      <c r="M171" s="13" t="n"/>
      <c r="N171" s="13" t="n"/>
    </row>
    <row r="172" ht="18" customHeight="1">
      <c r="A172" s="285" t="inlineStr">
        <is>
          <t>1er</t>
        </is>
      </c>
      <c r="B172" s="286" t="n">
        <v>19788</v>
      </c>
      <c r="C172" s="287" t="inlineStr">
        <is>
          <t>V1</t>
        </is>
      </c>
      <c r="D172" s="287" t="n"/>
      <c r="E172" s="287" t="n"/>
      <c r="F172" s="287" t="n"/>
      <c r="G172" s="287" t="n"/>
      <c r="H172" s="15" t="n"/>
      <c r="I172" s="15" t="n"/>
      <c r="J172" s="15" t="n"/>
      <c r="K172" s="15" t="n"/>
      <c r="L172" s="15" t="n"/>
      <c r="M172" s="15" t="n"/>
      <c r="N172" s="15" t="n"/>
    </row>
    <row r="173" ht="18" customHeight="1">
      <c r="A173" s="285" t="inlineStr">
        <is>
          <t>2o</t>
        </is>
      </c>
      <c r="B173" s="286" t="n">
        <v>16551</v>
      </c>
      <c r="C173" s="287" t="n"/>
      <c r="D173" s="287" t="inlineStr">
        <is>
          <t>V38</t>
        </is>
      </c>
      <c r="E173" s="287" t="n"/>
      <c r="F173" s="287" t="n"/>
      <c r="G173" s="287" t="n"/>
      <c r="H173" s="15" t="n"/>
      <c r="I173" s="15" t="n"/>
      <c r="J173" s="15" t="n"/>
      <c r="K173" s="15" t="n"/>
      <c r="L173" s="15" t="n"/>
      <c r="M173" s="15" t="n"/>
      <c r="N173" s="15" t="n"/>
    </row>
    <row r="174" ht="18" customHeight="1">
      <c r="A174" s="285" t="inlineStr">
        <is>
          <t>3er</t>
        </is>
      </c>
      <c r="B174" s="286" t="n">
        <v>15166</v>
      </c>
      <c r="C174" s="287" t="n"/>
      <c r="D174" s="287" t="n"/>
      <c r="E174" s="287" t="inlineStr">
        <is>
          <t>V6</t>
        </is>
      </c>
      <c r="F174" s="287" t="n"/>
      <c r="G174" s="287" t="n"/>
      <c r="H174" s="15" t="n"/>
      <c r="I174" s="15" t="n"/>
      <c r="J174" s="15" t="n"/>
      <c r="K174" s="15" t="n"/>
      <c r="L174" s="15" t="n"/>
      <c r="M174" s="15" t="n"/>
      <c r="N174" s="15" t="n"/>
    </row>
    <row r="175" ht="18" customHeight="1">
      <c r="A175" s="285" t="inlineStr">
        <is>
          <t>4o</t>
        </is>
      </c>
      <c r="B175" s="286" t="n">
        <v>13415</v>
      </c>
      <c r="C175" s="287" t="n"/>
      <c r="D175" s="287" t="n"/>
      <c r="E175" s="287" t="n"/>
      <c r="F175" s="287" t="inlineStr">
        <is>
          <t>V56</t>
        </is>
      </c>
      <c r="G175" s="287" t="n"/>
      <c r="H175" s="15" t="n"/>
      <c r="I175" s="15" t="n"/>
      <c r="J175" s="15" t="n"/>
      <c r="K175" s="15" t="n"/>
      <c r="L175" s="15" t="n"/>
      <c r="M175" s="15" t="n"/>
      <c r="N175" s="15" t="n"/>
    </row>
    <row r="176" ht="18" customHeight="1">
      <c r="A176" s="285" t="inlineStr">
        <is>
          <t>5o</t>
        </is>
      </c>
      <c r="B176" s="286" t="n">
        <v>12616</v>
      </c>
      <c r="C176" s="287" t="n"/>
      <c r="D176" s="287" t="n"/>
      <c r="E176" s="287" t="n"/>
      <c r="F176" s="287" t="n"/>
      <c r="G176" s="287" t="inlineStr">
        <is>
          <t>V84</t>
        </is>
      </c>
      <c r="H176" s="15" t="n"/>
      <c r="I176" s="15" t="n"/>
      <c r="J176" s="15" t="n"/>
      <c r="K176" s="15" t="n"/>
      <c r="L176" s="15" t="n"/>
      <c r="M176" s="15" t="n"/>
      <c r="N176" s="15" t="n"/>
    </row>
    <row r="177" ht="18" customHeight="1"/>
    <row r="178" ht="18" customHeight="1">
      <c r="A178" s="280" t="inlineStr">
        <is>
          <t>COBRANZA VENCIDA</t>
        </is>
      </c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</row>
    <row r="179" ht="18" customHeight="1">
      <c r="A179" s="281" t="inlineStr">
        <is>
          <t>Total</t>
        </is>
      </c>
      <c r="B179" s="282" t="n">
        <v>145938</v>
      </c>
    </row>
    <row r="180" ht="18" customHeight="1">
      <c r="A180" s="283" t="inlineStr">
        <is>
          <t>Top 5</t>
        </is>
      </c>
      <c r="C180" s="284" t="n"/>
      <c r="D180" s="284" t="n"/>
      <c r="E180" s="284" t="n"/>
      <c r="F180" s="284" t="n"/>
      <c r="G180" s="284" t="n"/>
      <c r="H180" s="13" t="n"/>
      <c r="I180" s="13" t="n"/>
      <c r="J180" s="13" t="n"/>
      <c r="K180" s="13" t="n"/>
      <c r="L180" s="13" t="n"/>
      <c r="M180" s="13" t="n"/>
      <c r="N180" s="13" t="n"/>
    </row>
    <row r="181" ht="18" customHeight="1">
      <c r="A181" s="285" t="inlineStr">
        <is>
          <t>1er</t>
        </is>
      </c>
      <c r="B181" s="286" t="n">
        <v>30632</v>
      </c>
      <c r="C181" s="287" t="inlineStr">
        <is>
          <t>V39</t>
        </is>
      </c>
      <c r="D181" s="287" t="n"/>
      <c r="E181" s="287" t="n"/>
      <c r="F181" s="287" t="n"/>
      <c r="G181" s="287" t="n"/>
      <c r="H181" s="15" t="n"/>
      <c r="I181" s="15" t="n"/>
      <c r="J181" s="15" t="n"/>
      <c r="K181" s="15" t="n"/>
      <c r="L181" s="15" t="n"/>
      <c r="M181" s="15" t="n"/>
      <c r="N181" s="15" t="n"/>
    </row>
    <row r="182" ht="18" customHeight="1">
      <c r="A182" s="285" t="inlineStr">
        <is>
          <t>2o</t>
        </is>
      </c>
      <c r="B182" s="286" t="n">
        <v>23081</v>
      </c>
      <c r="C182" s="287" t="n"/>
      <c r="D182" s="287" t="inlineStr">
        <is>
          <t>EDGAR</t>
        </is>
      </c>
      <c r="E182" s="287" t="n"/>
      <c r="F182" s="287" t="n"/>
      <c r="G182" s="287" t="n"/>
      <c r="H182" s="15" t="n"/>
      <c r="I182" s="15" t="n"/>
      <c r="J182" s="15" t="n"/>
      <c r="K182" s="15" t="n"/>
      <c r="L182" s="15" t="n"/>
      <c r="M182" s="15" t="n"/>
      <c r="N182" s="15" t="n"/>
    </row>
    <row r="183" ht="18" customHeight="1">
      <c r="A183" s="285" t="inlineStr">
        <is>
          <t>3er</t>
        </is>
      </c>
      <c r="B183" s="286" t="n">
        <v>22118</v>
      </c>
      <c r="C183" s="287" t="n"/>
      <c r="D183" s="287" t="n"/>
      <c r="E183" s="287" t="inlineStr">
        <is>
          <t>DEPOSITO</t>
        </is>
      </c>
      <c r="F183" s="287" t="n"/>
      <c r="G183" s="287" t="n"/>
      <c r="H183" s="15" t="n"/>
      <c r="I183" s="15" t="n"/>
      <c r="J183" s="15" t="n"/>
      <c r="K183" s="15" t="n"/>
      <c r="L183" s="15" t="n"/>
      <c r="M183" s="15" t="n"/>
      <c r="N183" s="15" t="n"/>
    </row>
    <row r="184" ht="18" customHeight="1">
      <c r="A184" s="285" t="inlineStr">
        <is>
          <t>4o</t>
        </is>
      </c>
      <c r="B184" s="286" t="n">
        <v>21557</v>
      </c>
      <c r="C184" s="287" t="n"/>
      <c r="D184" s="287" t="n"/>
      <c r="E184" s="287" t="n"/>
      <c r="F184" s="287" t="inlineStr">
        <is>
          <t>JORGE</t>
        </is>
      </c>
      <c r="G184" s="287" t="n"/>
      <c r="H184" s="15" t="n"/>
      <c r="I184" s="15" t="n"/>
      <c r="J184" s="15" t="n"/>
      <c r="K184" s="15" t="n"/>
      <c r="L184" s="15" t="n"/>
      <c r="M184" s="15" t="n"/>
      <c r="N184" s="15" t="n"/>
    </row>
    <row r="185" ht="18" customHeight="1">
      <c r="A185" s="285" t="inlineStr">
        <is>
          <t>5o</t>
        </is>
      </c>
      <c r="B185" s="286" t="n">
        <v>12381</v>
      </c>
      <c r="C185" s="287" t="n"/>
      <c r="D185" s="287" t="n"/>
      <c r="E185" s="287" t="n"/>
      <c r="F185" s="287" t="n"/>
      <c r="G185" s="287" t="inlineStr">
        <is>
          <t>FRANCISCO</t>
        </is>
      </c>
      <c r="H185" s="15" t="n"/>
      <c r="I185" s="15" t="n"/>
      <c r="J185" s="15" t="n"/>
      <c r="K185" s="15" t="n"/>
      <c r="L185" s="15" t="n"/>
      <c r="M185" s="15" t="n"/>
      <c r="N185" s="15" t="n"/>
    </row>
    <row r="186" ht="18" customHeight="1"/>
    <row r="187" ht="18" customHeight="1">
      <c r="A187" s="280" t="inlineStr">
        <is>
          <t>COBRANZA EFECTIVA</t>
        </is>
      </c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</row>
    <row r="188" ht="18" customHeight="1">
      <c r="A188" s="281" t="inlineStr">
        <is>
          <t>Total</t>
        </is>
      </c>
      <c r="B188" s="282" t="n">
        <v>1202393</v>
      </c>
    </row>
    <row r="189" ht="18" customHeight="1">
      <c r="A189" s="283" t="inlineStr">
        <is>
          <t>Top 5</t>
        </is>
      </c>
      <c r="C189" s="284" t="n"/>
      <c r="D189" s="284" t="n"/>
      <c r="E189" s="284" t="n"/>
      <c r="F189" s="284" t="n"/>
      <c r="G189" s="284" t="n"/>
      <c r="H189" s="13" t="n"/>
      <c r="I189" s="13" t="n"/>
      <c r="J189" s="13" t="n"/>
      <c r="K189" s="13" t="n"/>
      <c r="L189" s="13" t="n"/>
      <c r="M189" s="13" t="n"/>
      <c r="N189" s="13" t="n"/>
    </row>
    <row r="190" ht="18" customHeight="1">
      <c r="A190" s="285" t="inlineStr">
        <is>
          <t>1er</t>
        </is>
      </c>
      <c r="B190" s="286" t="n">
        <v>199444</v>
      </c>
      <c r="C190" s="287" t="inlineStr">
        <is>
          <t>EDGAR</t>
        </is>
      </c>
      <c r="D190" s="287" t="n"/>
      <c r="E190" s="287" t="n"/>
      <c r="F190" s="287" t="n"/>
      <c r="G190" s="287" t="n"/>
      <c r="H190" s="15" t="n"/>
      <c r="I190" s="15" t="n"/>
      <c r="J190" s="15" t="n"/>
      <c r="K190" s="15" t="n"/>
      <c r="L190" s="15" t="n"/>
      <c r="M190" s="15" t="n"/>
      <c r="N190" s="15" t="n"/>
    </row>
    <row r="191" ht="18" customHeight="1">
      <c r="A191" s="285" t="inlineStr">
        <is>
          <t>2o</t>
        </is>
      </c>
      <c r="B191" s="286" t="n">
        <v>168196</v>
      </c>
      <c r="C191" s="287" t="n"/>
      <c r="D191" s="287" t="inlineStr">
        <is>
          <t>DEPOSITO</t>
        </is>
      </c>
      <c r="E191" s="287" t="n"/>
      <c r="F191" s="287" t="n"/>
      <c r="G191" s="287" t="n"/>
      <c r="H191" s="15" t="n"/>
      <c r="I191" s="15" t="n"/>
      <c r="J191" s="15" t="n"/>
      <c r="K191" s="15" t="n"/>
      <c r="L191" s="15" t="n"/>
      <c r="M191" s="15" t="n"/>
      <c r="N191" s="15" t="n"/>
    </row>
    <row r="192" ht="18" customHeight="1">
      <c r="A192" s="285" t="inlineStr">
        <is>
          <t>3er</t>
        </is>
      </c>
      <c r="B192" s="286" t="n">
        <v>118908</v>
      </c>
      <c r="C192" s="287" t="n"/>
      <c r="D192" s="287" t="n"/>
      <c r="E192" s="287" t="inlineStr">
        <is>
          <t>V1</t>
        </is>
      </c>
      <c r="F192" s="287" t="n"/>
      <c r="G192" s="287" t="n"/>
      <c r="H192" s="15" t="n"/>
      <c r="I192" s="15" t="n"/>
      <c r="J192" s="15" t="n"/>
      <c r="K192" s="15" t="n"/>
      <c r="L192" s="15" t="n"/>
      <c r="M192" s="15" t="n"/>
      <c r="N192" s="15" t="n"/>
    </row>
    <row r="193" ht="18" customHeight="1">
      <c r="A193" s="285" t="inlineStr">
        <is>
          <t>4o</t>
        </is>
      </c>
      <c r="B193" s="286" t="n">
        <v>113756</v>
      </c>
      <c r="C193" s="287" t="n"/>
      <c r="D193" s="287" t="n"/>
      <c r="E193" s="287" t="n"/>
      <c r="F193" s="287" t="inlineStr">
        <is>
          <t>JORGE</t>
        </is>
      </c>
      <c r="G193" s="287" t="n"/>
      <c r="H193" s="15" t="n"/>
      <c r="I193" s="15" t="n"/>
      <c r="J193" s="15" t="n"/>
      <c r="K193" s="15" t="n"/>
      <c r="L193" s="15" t="n"/>
      <c r="M193" s="15" t="n"/>
      <c r="N193" s="15" t="n"/>
    </row>
    <row r="194" ht="18" customHeight="1">
      <c r="A194" s="285" t="inlineStr">
        <is>
          <t>5o</t>
        </is>
      </c>
      <c r="B194" s="286" t="n">
        <v>95792</v>
      </c>
      <c r="C194" s="287" t="n"/>
      <c r="D194" s="287" t="n"/>
      <c r="E194" s="287" t="n"/>
      <c r="F194" s="287" t="n"/>
      <c r="G194" s="287" t="inlineStr">
        <is>
          <t>FRANCISCO</t>
        </is>
      </c>
      <c r="H194" s="15" t="n"/>
      <c r="I194" s="15" t="n"/>
      <c r="J194" s="15" t="n"/>
      <c r="K194" s="15" t="n"/>
      <c r="L194" s="15" t="n"/>
      <c r="M194" s="15" t="n"/>
      <c r="N194" s="15" t="n"/>
    </row>
    <row r="195" ht="18" customHeight="1"/>
    <row r="196" ht="18" customHeight="1">
      <c r="A196" s="280" t="inlineStr">
        <is>
          <t>COBRANZA RECUPERADA</t>
        </is>
      </c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</row>
    <row r="197" ht="18" customHeight="1">
      <c r="A197" s="281" t="inlineStr">
        <is>
          <t>Total</t>
        </is>
      </c>
      <c r="B197" s="282" t="n">
        <v>180788</v>
      </c>
    </row>
    <row r="198" ht="18" customHeight="1">
      <c r="A198" s="283" t="inlineStr">
        <is>
          <t>Top 5</t>
        </is>
      </c>
      <c r="C198" s="284" t="n"/>
      <c r="D198" s="284" t="n"/>
      <c r="E198" s="284" t="n"/>
      <c r="F198" s="284" t="n"/>
      <c r="G198" s="284" t="n"/>
      <c r="H198" s="13" t="n"/>
      <c r="I198" s="13" t="n"/>
      <c r="J198" s="13" t="n"/>
      <c r="K198" s="13" t="n"/>
      <c r="L198" s="13" t="n"/>
      <c r="M198" s="13" t="n"/>
      <c r="N198" s="13" t="n"/>
    </row>
    <row r="199" ht="18" customHeight="1">
      <c r="A199" s="285" t="inlineStr">
        <is>
          <t>1er</t>
        </is>
      </c>
      <c r="B199" s="286" t="n">
        <v>39900</v>
      </c>
      <c r="C199" s="287" t="inlineStr">
        <is>
          <t>V39</t>
        </is>
      </c>
      <c r="D199" s="287" t="n"/>
      <c r="E199" s="287" t="n"/>
      <c r="F199" s="287" t="n"/>
      <c r="G199" s="287" t="n"/>
      <c r="H199" s="15" t="n"/>
      <c r="I199" s="15" t="n"/>
      <c r="J199" s="15" t="n"/>
      <c r="K199" s="15" t="n"/>
      <c r="L199" s="15" t="n"/>
      <c r="M199" s="15" t="n"/>
      <c r="N199" s="15" t="n"/>
    </row>
    <row r="200" ht="18" customHeight="1">
      <c r="A200" s="285" t="inlineStr">
        <is>
          <t>2o</t>
        </is>
      </c>
      <c r="B200" s="286" t="n">
        <v>30129</v>
      </c>
      <c r="C200" s="287" t="n"/>
      <c r="D200" s="287" t="inlineStr">
        <is>
          <t>JORGE</t>
        </is>
      </c>
      <c r="E200" s="287" t="n"/>
      <c r="F200" s="287" t="n"/>
      <c r="G200" s="287" t="n"/>
      <c r="H200" s="15" t="n"/>
      <c r="I200" s="15" t="n"/>
      <c r="J200" s="15" t="n"/>
      <c r="K200" s="15" t="n"/>
      <c r="L200" s="15" t="n"/>
      <c r="M200" s="15" t="n"/>
      <c r="N200" s="15" t="n"/>
    </row>
    <row r="201" ht="18" customHeight="1">
      <c r="A201" s="285" t="inlineStr">
        <is>
          <t>3er</t>
        </is>
      </c>
      <c r="B201" s="286" t="n">
        <v>28947</v>
      </c>
      <c r="C201" s="287" t="n"/>
      <c r="D201" s="287" t="n"/>
      <c r="E201" s="287" t="inlineStr">
        <is>
          <t>EDGAR</t>
        </is>
      </c>
      <c r="F201" s="287" t="n"/>
      <c r="G201" s="287" t="n"/>
      <c r="H201" s="15" t="n"/>
      <c r="I201" s="15" t="n"/>
      <c r="J201" s="15" t="n"/>
      <c r="K201" s="15" t="n"/>
      <c r="L201" s="15" t="n"/>
      <c r="M201" s="15" t="n"/>
      <c r="N201" s="15" t="n"/>
    </row>
    <row r="202" ht="18" customHeight="1">
      <c r="A202" s="285" t="inlineStr">
        <is>
          <t>4o</t>
        </is>
      </c>
      <c r="B202" s="286" t="n">
        <v>22542</v>
      </c>
      <c r="C202" s="287" t="n"/>
      <c r="D202" s="287" t="n"/>
      <c r="E202" s="287" t="n"/>
      <c r="F202" s="287" t="inlineStr">
        <is>
          <t>FRANCISCO</t>
        </is>
      </c>
      <c r="G202" s="287" t="n"/>
      <c r="H202" s="15" t="n"/>
      <c r="I202" s="15" t="n"/>
      <c r="J202" s="15" t="n"/>
      <c r="K202" s="15" t="n"/>
      <c r="L202" s="15" t="n"/>
      <c r="M202" s="15" t="n"/>
      <c r="N202" s="15" t="n"/>
    </row>
    <row r="203" ht="18" customHeight="1">
      <c r="A203" s="285" t="inlineStr">
        <is>
          <t>5o</t>
        </is>
      </c>
      <c r="B203" s="286" t="n">
        <v>13930</v>
      </c>
      <c r="C203" s="287" t="n"/>
      <c r="D203" s="287" t="n"/>
      <c r="E203" s="287" t="n"/>
      <c r="F203" s="287" t="n"/>
      <c r="G203" s="287" t="inlineStr">
        <is>
          <t>DEPOSITO</t>
        </is>
      </c>
      <c r="H203" s="15" t="n"/>
      <c r="I203" s="15" t="n"/>
      <c r="J203" s="15" t="n"/>
      <c r="K203" s="15" t="n"/>
      <c r="L203" s="15" t="n"/>
      <c r="M203" s="15" t="n"/>
      <c r="N203" s="15" t="n"/>
    </row>
    <row r="204" ht="18" customHeight="1"/>
    <row r="205" ht="18" customHeight="1">
      <c r="A205" s="280" t="inlineStr">
        <is>
          <t>COBRANZA TOTAL GENERAL</t>
        </is>
      </c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</row>
    <row r="206" ht="18" customHeight="1">
      <c r="A206" s="281" t="inlineStr">
        <is>
          <t>Total</t>
        </is>
      </c>
      <c r="B206" s="282" t="n">
        <v>1433162</v>
      </c>
    </row>
    <row r="207" ht="18" customHeight="1">
      <c r="A207" s="283" t="inlineStr">
        <is>
          <t>Top 5</t>
        </is>
      </c>
      <c r="C207" s="284" t="n"/>
      <c r="D207" s="284" t="n"/>
      <c r="E207" s="284" t="n"/>
      <c r="F207" s="284" t="n"/>
      <c r="G207" s="284" t="n"/>
      <c r="H207" s="13" t="n"/>
      <c r="I207" s="13" t="n"/>
      <c r="J207" s="13" t="n"/>
      <c r="K207" s="13" t="n"/>
      <c r="L207" s="13" t="n"/>
      <c r="M207" s="13" t="n"/>
      <c r="N207" s="13" t="n"/>
    </row>
    <row r="208" ht="18" customHeight="1">
      <c r="A208" s="285" t="inlineStr">
        <is>
          <t>1er</t>
        </is>
      </c>
      <c r="B208" s="286" t="n">
        <v>234290</v>
      </c>
      <c r="C208" s="287" t="inlineStr">
        <is>
          <t>EDGAR</t>
        </is>
      </c>
      <c r="D208" s="287" t="n"/>
      <c r="E208" s="287" t="n"/>
      <c r="F208" s="287" t="n"/>
      <c r="G208" s="287" t="n"/>
      <c r="H208" s="15" t="n"/>
      <c r="I208" s="15" t="n"/>
      <c r="J208" s="15" t="n"/>
      <c r="K208" s="15" t="n"/>
      <c r="L208" s="15" t="n"/>
      <c r="M208" s="15" t="n"/>
      <c r="N208" s="15" t="n"/>
    </row>
    <row r="209" ht="18" customHeight="1">
      <c r="A209" s="285" t="inlineStr">
        <is>
          <t>2o</t>
        </is>
      </c>
      <c r="B209" s="286" t="n">
        <v>196468</v>
      </c>
      <c r="C209" s="287" t="n"/>
      <c r="D209" s="287" t="inlineStr">
        <is>
          <t>DEPOSITO</t>
        </is>
      </c>
      <c r="E209" s="287" t="n"/>
      <c r="F209" s="287" t="n"/>
      <c r="G209" s="287" t="n"/>
      <c r="H209" s="15" t="n"/>
      <c r="I209" s="15" t="n"/>
      <c r="J209" s="15" t="n"/>
      <c r="K209" s="15" t="n"/>
      <c r="L209" s="15" t="n"/>
      <c r="M209" s="15" t="n"/>
      <c r="N209" s="15" t="n"/>
    </row>
    <row r="210" ht="18" customHeight="1">
      <c r="A210" s="285" t="inlineStr">
        <is>
          <t>3er</t>
        </is>
      </c>
      <c r="B210" s="286" t="n">
        <v>143885</v>
      </c>
      <c r="C210" s="287" t="n"/>
      <c r="D210" s="287" t="n"/>
      <c r="E210" s="287" t="inlineStr">
        <is>
          <t>JORGE</t>
        </is>
      </c>
      <c r="F210" s="287" t="n"/>
      <c r="G210" s="287" t="n"/>
      <c r="H210" s="15" t="n"/>
      <c r="I210" s="15" t="n"/>
      <c r="J210" s="15" t="n"/>
      <c r="K210" s="15" t="n"/>
      <c r="L210" s="15" t="n"/>
      <c r="M210" s="15" t="n"/>
      <c r="N210" s="15" t="n"/>
    </row>
    <row r="211" ht="18" customHeight="1">
      <c r="A211" s="285" t="inlineStr">
        <is>
          <t>4o</t>
        </is>
      </c>
      <c r="B211" s="286" t="n">
        <v>129918</v>
      </c>
      <c r="C211" s="287" t="n"/>
      <c r="D211" s="287" t="n"/>
      <c r="E211" s="287" t="n"/>
      <c r="F211" s="287" t="inlineStr">
        <is>
          <t>V1</t>
        </is>
      </c>
      <c r="G211" s="287" t="n"/>
      <c r="H211" s="15" t="n"/>
      <c r="I211" s="15" t="n"/>
      <c r="J211" s="15" t="n"/>
      <c r="K211" s="15" t="n"/>
      <c r="L211" s="15" t="n"/>
      <c r="M211" s="15" t="n"/>
      <c r="N211" s="15" t="n"/>
    </row>
    <row r="212" ht="18" customHeight="1">
      <c r="A212" s="285" t="inlineStr">
        <is>
          <t>5o</t>
        </is>
      </c>
      <c r="B212" s="286" t="n">
        <v>119867</v>
      </c>
      <c r="C212" s="287" t="n"/>
      <c r="D212" s="287" t="n"/>
      <c r="E212" s="287" t="n"/>
      <c r="F212" s="287" t="n"/>
      <c r="G212" s="287" t="inlineStr">
        <is>
          <t>FRANCISCO</t>
        </is>
      </c>
      <c r="H212" s="15" t="n"/>
      <c r="I212" s="15" t="n"/>
      <c r="J212" s="15" t="n"/>
      <c r="K212" s="15" t="n"/>
      <c r="L212" s="15" t="n"/>
      <c r="M212" s="15" t="n"/>
      <c r="N212" s="15" t="n"/>
    </row>
    <row r="213" ht="18" customHeight="1"/>
    <row r="214" ht="18" customHeight="1">
      <c r="A214" s="280" t="inlineStr">
        <is>
          <t>COBRANZA ADELANTADA F.</t>
        </is>
      </c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</row>
    <row r="215" ht="18" customHeight="1">
      <c r="A215" s="281" t="inlineStr">
        <is>
          <t>Total</t>
        </is>
      </c>
      <c r="B215" s="282" t="n">
        <v>0</v>
      </c>
    </row>
    <row r="216" ht="18" customHeight="1">
      <c r="A216" s="283" t="inlineStr">
        <is>
          <t>Top 5</t>
        </is>
      </c>
      <c r="C216" s="284" t="n"/>
      <c r="D216" s="284" t="n"/>
      <c r="E216" s="284" t="n"/>
      <c r="F216" s="284" t="n"/>
      <c r="G216" s="284" t="n"/>
      <c r="H216" s="13" t="n"/>
      <c r="I216" s="13" t="n"/>
      <c r="J216" s="13" t="n"/>
      <c r="K216" s="13" t="n"/>
      <c r="L216" s="13" t="n"/>
      <c r="M216" s="13" t="n"/>
      <c r="N216" s="13" t="n"/>
    </row>
    <row r="217" ht="18" customHeight="1">
      <c r="A217" s="285" t="inlineStr">
        <is>
          <t>1er</t>
        </is>
      </c>
      <c r="B217" s="286" t="n"/>
      <c r="C217" s="287" t="n"/>
      <c r="D217" s="287" t="n"/>
      <c r="E217" s="287" t="n"/>
      <c r="F217" s="287" t="n"/>
      <c r="G217" s="287" t="n"/>
      <c r="H217" s="15" t="n"/>
      <c r="I217" s="15" t="n"/>
      <c r="J217" s="15" t="n"/>
      <c r="K217" s="15" t="n"/>
      <c r="L217" s="15" t="n"/>
      <c r="M217" s="15" t="n"/>
      <c r="N217" s="15" t="n"/>
    </row>
    <row r="218" ht="18" customHeight="1">
      <c r="A218" s="285" t="inlineStr">
        <is>
          <t>2o</t>
        </is>
      </c>
      <c r="B218" s="286" t="n"/>
      <c r="C218" s="287" t="n"/>
      <c r="D218" s="287" t="n"/>
      <c r="E218" s="287" t="n"/>
      <c r="F218" s="287" t="n"/>
      <c r="G218" s="287" t="n"/>
      <c r="H218" s="15" t="n"/>
      <c r="I218" s="15" t="n"/>
      <c r="J218" s="15" t="n"/>
      <c r="K218" s="15" t="n"/>
      <c r="L218" s="15" t="n"/>
      <c r="M218" s="15" t="n"/>
      <c r="N218" s="15" t="n"/>
    </row>
    <row r="219" ht="18" customHeight="1">
      <c r="A219" s="285" t="inlineStr">
        <is>
          <t>3er</t>
        </is>
      </c>
      <c r="B219" s="286" t="n"/>
      <c r="C219" s="287" t="n"/>
      <c r="D219" s="287" t="n"/>
      <c r="E219" s="287" t="n"/>
      <c r="F219" s="287" t="n"/>
      <c r="G219" s="287" t="n"/>
      <c r="H219" s="15" t="n"/>
      <c r="I219" s="15" t="n"/>
      <c r="J219" s="15" t="n"/>
      <c r="K219" s="15" t="n"/>
      <c r="L219" s="15" t="n"/>
      <c r="M219" s="15" t="n"/>
      <c r="N219" s="15" t="n"/>
    </row>
    <row r="220" ht="18" customHeight="1">
      <c r="A220" s="285" t="inlineStr">
        <is>
          <t>4o</t>
        </is>
      </c>
      <c r="B220" s="286" t="n"/>
      <c r="C220" s="287" t="n"/>
      <c r="D220" s="287" t="n"/>
      <c r="E220" s="287" t="n"/>
      <c r="F220" s="287" t="n"/>
      <c r="G220" s="287" t="n"/>
      <c r="H220" s="15" t="n"/>
      <c r="I220" s="15" t="n"/>
      <c r="J220" s="15" t="n"/>
      <c r="K220" s="15" t="n"/>
      <c r="L220" s="15" t="n"/>
      <c r="M220" s="15" t="n"/>
      <c r="N220" s="15" t="n"/>
    </row>
    <row r="221" ht="18" customHeight="1">
      <c r="A221" s="285" t="inlineStr">
        <is>
          <t>5o</t>
        </is>
      </c>
      <c r="B221" s="286" t="n"/>
      <c r="C221" s="287" t="n"/>
      <c r="D221" s="287" t="n"/>
      <c r="E221" s="287" t="n"/>
      <c r="F221" s="287" t="n"/>
      <c r="G221" s="287" t="n"/>
      <c r="H221" s="15" t="n"/>
      <c r="I221" s="15" t="n"/>
      <c r="J221" s="15" t="n"/>
      <c r="K221" s="15" t="n"/>
      <c r="L221" s="15" t="n"/>
      <c r="M221" s="15" t="n"/>
      <c r="N221" s="15" t="n"/>
    </row>
    <row r="222" ht="18" customHeight="1"/>
    <row r="223" ht="18" customHeight="1">
      <c r="A223" s="280" t="inlineStr">
        <is>
          <t>PROYECCIÓN MARZO → MARZO</t>
        </is>
      </c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</row>
    <row r="224" ht="18" customHeight="1">
      <c r="A224" s="281" t="inlineStr">
        <is>
          <t>Proyección MARZO</t>
        </is>
      </c>
      <c r="B224" s="282" t="n">
        <v>996614</v>
      </c>
    </row>
    <row r="225" ht="18" customHeight="1"/>
    <row r="226" ht="18" customHeight="1"/>
    <row r="227" ht="24" customHeight="1">
      <c r="A227" s="277" t="inlineStr">
        <is>
          <t>ABRIL 2026</t>
        </is>
      </c>
    </row>
    <row r="228" ht="18" customHeight="1">
      <c r="A228" s="278" t="inlineStr">
        <is>
          <t>CONCEPTO</t>
        </is>
      </c>
      <c r="B228" s="288" t="inlineStr">
        <is>
          <t>TOTAL ($)</t>
        </is>
      </c>
      <c r="C228" s="288" t="inlineStr">
        <is>
          <t>TOP 1</t>
        </is>
      </c>
      <c r="D228" s="288" t="inlineStr">
        <is>
          <t>TOP 2</t>
        </is>
      </c>
      <c r="E228" s="288" t="inlineStr">
        <is>
          <t>TOP 3</t>
        </is>
      </c>
      <c r="F228" s="288" t="inlineStr">
        <is>
          <t>TOP 4</t>
        </is>
      </c>
      <c r="G228" s="288" t="inlineStr">
        <is>
          <t>TOP 5</t>
        </is>
      </c>
      <c r="H228" s="288" t="inlineStr">
        <is>
          <t>% TOP 1</t>
        </is>
      </c>
      <c r="I228" s="288" t="inlineStr">
        <is>
          <t>% TOP 2</t>
        </is>
      </c>
      <c r="J228" s="288" t="inlineStr">
        <is>
          <t>% TOP 3</t>
        </is>
      </c>
      <c r="K228" s="288" t="inlineStr">
        <is>
          <t>% TOP 4</t>
        </is>
      </c>
      <c r="L228" s="288" t="inlineStr">
        <is>
          <t>% TOP 5</t>
        </is>
      </c>
      <c r="M228" s="288" t="inlineStr">
        <is>
          <t>% ACUM.</t>
        </is>
      </c>
    </row>
    <row r="229" ht="18" customHeight="1">
      <c r="A229" s="279" t="inlineStr">
        <is>
          <t>DATOS GENERALES</t>
        </is>
      </c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</row>
    <row r="230" ht="18" customHeight="1">
      <c r="A230" s="278" t="inlineStr">
        <is>
          <t>Mes</t>
        </is>
      </c>
      <c r="B230" s="9" t="inlineStr">
        <is>
          <t>ABRIL</t>
        </is>
      </c>
      <c r="E230" s="8" t="inlineStr">
        <is>
          <t>Año</t>
        </is>
      </c>
      <c r="F230" s="9" t="inlineStr">
        <is>
          <t>2026</t>
        </is>
      </c>
    </row>
    <row r="231" ht="18" customHeight="1">
      <c r="A231" s="278" t="inlineStr">
        <is>
          <t>Fecha de corte</t>
        </is>
      </c>
      <c r="B231" s="10" t="n"/>
      <c r="E231" s="8" t="inlineStr">
        <is>
          <t>Elaboró</t>
        </is>
      </c>
      <c r="F231" s="10" t="n"/>
    </row>
    <row r="232" ht="18" customHeight="1">
      <c r="A232" s="278" t="inlineStr">
        <is>
          <t>Reportado por</t>
        </is>
      </c>
      <c r="B232" s="10" t="n"/>
      <c r="E232" s="8" t="inlineStr">
        <is>
          <t>Cargo</t>
        </is>
      </c>
      <c r="F232" s="10" t="n"/>
    </row>
    <row r="233" ht="18" customHeight="1"/>
    <row r="234" ht="18" customHeight="1">
      <c r="A234" s="280" t="inlineStr">
        <is>
          <t>COBRANZA CORRIENTE</t>
        </is>
      </c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</row>
    <row r="235" ht="18" customHeight="1">
      <c r="A235" s="281" t="inlineStr">
        <is>
          <t>Total</t>
        </is>
      </c>
      <c r="B235" s="282" t="n">
        <v>1333269</v>
      </c>
    </row>
    <row r="236" ht="18" customHeight="1">
      <c r="A236" s="283" t="inlineStr">
        <is>
          <t>Top 5</t>
        </is>
      </c>
      <c r="C236" s="284" t="n"/>
      <c r="D236" s="284" t="n"/>
      <c r="E236" s="284" t="n"/>
      <c r="F236" s="284" t="n"/>
      <c r="G236" s="284" t="n"/>
      <c r="H236" s="13" t="n"/>
      <c r="I236" s="13" t="n"/>
      <c r="J236" s="13" t="n"/>
      <c r="K236" s="13" t="n"/>
      <c r="L236" s="13" t="n"/>
      <c r="M236" s="13" t="n"/>
      <c r="N236" s="13" t="n"/>
    </row>
    <row r="237" ht="18" customHeight="1">
      <c r="A237" s="285" t="inlineStr">
        <is>
          <t>1er</t>
        </is>
      </c>
      <c r="B237" s="286" t="n">
        <v>252756</v>
      </c>
      <c r="C237" s="287" t="inlineStr">
        <is>
          <t>V1</t>
        </is>
      </c>
      <c r="D237" s="287" t="n"/>
      <c r="E237" s="287" t="n"/>
      <c r="F237" s="287" t="n"/>
      <c r="G237" s="287" t="n"/>
      <c r="H237" s="15" t="n"/>
      <c r="I237" s="15" t="n"/>
      <c r="J237" s="15" t="n"/>
      <c r="K237" s="15" t="n"/>
      <c r="L237" s="15" t="n"/>
      <c r="M237" s="15" t="n"/>
      <c r="N237" s="15" t="n"/>
    </row>
    <row r="238" ht="18" customHeight="1">
      <c r="A238" s="285" t="inlineStr">
        <is>
          <t>2o</t>
        </is>
      </c>
      <c r="B238" s="286" t="n">
        <v>232738</v>
      </c>
      <c r="C238" s="287" t="n"/>
      <c r="D238" s="287" t="inlineStr">
        <is>
          <t>V6</t>
        </is>
      </c>
      <c r="E238" s="287" t="n"/>
      <c r="F238" s="287" t="n"/>
      <c r="G238" s="287" t="n"/>
      <c r="H238" s="15" t="n"/>
      <c r="I238" s="15" t="n"/>
      <c r="J238" s="15" t="n"/>
      <c r="K238" s="15" t="n"/>
      <c r="L238" s="15" t="n"/>
      <c r="M238" s="15" t="n"/>
      <c r="N238" s="15" t="n"/>
    </row>
    <row r="239" ht="18" customHeight="1">
      <c r="A239" s="285" t="inlineStr">
        <is>
          <t>3er</t>
        </is>
      </c>
      <c r="B239" s="286" t="n">
        <v>189665</v>
      </c>
      <c r="C239" s="287" t="n"/>
      <c r="D239" s="287" t="n"/>
      <c r="E239" s="287" t="inlineStr">
        <is>
          <t>V39</t>
        </is>
      </c>
      <c r="F239" s="287" t="n"/>
      <c r="G239" s="287" t="n"/>
      <c r="H239" s="15" t="n"/>
      <c r="I239" s="15" t="n"/>
      <c r="J239" s="15" t="n"/>
      <c r="K239" s="15" t="n"/>
      <c r="L239" s="15" t="n"/>
      <c r="M239" s="15" t="n"/>
      <c r="N239" s="15" t="n"/>
    </row>
    <row r="240" ht="18" customHeight="1">
      <c r="A240" s="285" t="inlineStr">
        <is>
          <t>4o</t>
        </is>
      </c>
      <c r="B240" s="286" t="n">
        <v>176792</v>
      </c>
      <c r="C240" s="287" t="n"/>
      <c r="D240" s="287" t="n"/>
      <c r="E240" s="287" t="n"/>
      <c r="F240" s="287" t="inlineStr">
        <is>
          <t>V38</t>
        </is>
      </c>
      <c r="G240" s="287" t="n"/>
      <c r="H240" s="15" t="n"/>
      <c r="I240" s="15" t="n"/>
      <c r="J240" s="15" t="n"/>
      <c r="K240" s="15" t="n"/>
      <c r="L240" s="15" t="n"/>
      <c r="M240" s="15" t="n"/>
      <c r="N240" s="15" t="n"/>
    </row>
    <row r="241" ht="18" customHeight="1">
      <c r="A241" s="285" t="inlineStr">
        <is>
          <t>5o</t>
        </is>
      </c>
      <c r="B241" s="286" t="n">
        <v>104567</v>
      </c>
      <c r="C241" s="287" t="n"/>
      <c r="D241" s="287" t="n"/>
      <c r="E241" s="287" t="n"/>
      <c r="F241" s="287" t="n"/>
      <c r="G241" s="287" t="inlineStr">
        <is>
          <t>V56</t>
        </is>
      </c>
      <c r="H241" s="15" t="n"/>
      <c r="I241" s="15" t="n"/>
      <c r="J241" s="15" t="n"/>
      <c r="K241" s="15" t="n"/>
      <c r="L241" s="15" t="n"/>
      <c r="M241" s="15" t="n"/>
      <c r="N241" s="15" t="n"/>
    </row>
    <row r="242" ht="18" customHeight="1"/>
    <row r="243" ht="18" customHeight="1">
      <c r="A243" s="280" t="inlineStr">
        <is>
          <t>CANCELACIONES</t>
        </is>
      </c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</row>
    <row r="244" ht="18" customHeight="1">
      <c r="A244" s="281" t="inlineStr">
        <is>
          <t>Total</t>
        </is>
      </c>
      <c r="B244" s="282" t="n">
        <v>116313</v>
      </c>
    </row>
    <row r="245" ht="18" customHeight="1">
      <c r="A245" s="283" t="inlineStr">
        <is>
          <t>Top 5</t>
        </is>
      </c>
      <c r="C245" s="284" t="n"/>
      <c r="D245" s="284" t="n"/>
      <c r="E245" s="284" t="n"/>
      <c r="F245" s="284" t="n"/>
      <c r="G245" s="284" t="n"/>
      <c r="H245" s="13" t="n"/>
      <c r="I245" s="13" t="n"/>
      <c r="J245" s="13" t="n"/>
      <c r="K245" s="13" t="n"/>
      <c r="L245" s="13" t="n"/>
      <c r="M245" s="13" t="n"/>
      <c r="N245" s="13" t="n"/>
    </row>
    <row r="246" ht="18" customHeight="1">
      <c r="A246" s="285" t="inlineStr">
        <is>
          <t>1er</t>
        </is>
      </c>
      <c r="B246" s="286" t="n">
        <v>16519</v>
      </c>
      <c r="C246" s="287" t="inlineStr">
        <is>
          <t>V39</t>
        </is>
      </c>
      <c r="D246" s="287" t="n"/>
      <c r="E246" s="287" t="n"/>
      <c r="F246" s="287" t="n"/>
      <c r="G246" s="287" t="n"/>
      <c r="H246" s="15" t="n"/>
      <c r="I246" s="15" t="n"/>
      <c r="J246" s="15" t="n"/>
      <c r="K246" s="15" t="n"/>
      <c r="L246" s="15" t="n"/>
      <c r="M246" s="15" t="n"/>
      <c r="N246" s="15" t="n"/>
    </row>
    <row r="247" ht="18" customHeight="1">
      <c r="A247" s="285" t="inlineStr">
        <is>
          <t>2o</t>
        </is>
      </c>
      <c r="B247" s="286" t="n">
        <v>16242</v>
      </c>
      <c r="C247" s="287" t="n"/>
      <c r="D247" s="287" t="inlineStr">
        <is>
          <t>V38</t>
        </is>
      </c>
      <c r="E247" s="287" t="n"/>
      <c r="F247" s="287" t="n"/>
      <c r="G247" s="287" t="n"/>
      <c r="H247" s="15" t="n"/>
      <c r="I247" s="15" t="n"/>
      <c r="J247" s="15" t="n"/>
      <c r="K247" s="15" t="n"/>
      <c r="L247" s="15" t="n"/>
      <c r="M247" s="15" t="n"/>
      <c r="N247" s="15" t="n"/>
    </row>
    <row r="248" ht="18" customHeight="1">
      <c r="A248" s="285" t="inlineStr">
        <is>
          <t>3er</t>
        </is>
      </c>
      <c r="B248" s="286" t="n">
        <v>15691</v>
      </c>
      <c r="C248" s="287" t="n"/>
      <c r="D248" s="287" t="n"/>
      <c r="E248" s="287" t="inlineStr">
        <is>
          <t>V1</t>
        </is>
      </c>
      <c r="F248" s="287" t="n"/>
      <c r="G248" s="287" t="n"/>
      <c r="H248" s="15" t="n"/>
      <c r="I248" s="15" t="n"/>
      <c r="J248" s="15" t="n"/>
      <c r="K248" s="15" t="n"/>
      <c r="L248" s="15" t="n"/>
      <c r="M248" s="15" t="n"/>
      <c r="N248" s="15" t="n"/>
    </row>
    <row r="249" ht="18" customHeight="1">
      <c r="A249" s="285" t="inlineStr">
        <is>
          <t>4o</t>
        </is>
      </c>
      <c r="B249" s="286" t="n">
        <v>13754</v>
      </c>
      <c r="C249" s="287" t="n"/>
      <c r="D249" s="287" t="n"/>
      <c r="E249" s="287" t="n"/>
      <c r="F249" s="287" t="inlineStr">
        <is>
          <t>V6</t>
        </is>
      </c>
      <c r="G249" s="287" t="n"/>
      <c r="H249" s="15" t="n"/>
      <c r="I249" s="15" t="n"/>
      <c r="J249" s="15" t="n"/>
      <c r="K249" s="15" t="n"/>
      <c r="L249" s="15" t="n"/>
      <c r="M249" s="15" t="n"/>
      <c r="N249" s="15" t="n"/>
    </row>
    <row r="250" ht="18" customHeight="1">
      <c r="A250" s="285" t="inlineStr">
        <is>
          <t>5o</t>
        </is>
      </c>
      <c r="B250" s="286" t="n">
        <v>13047</v>
      </c>
      <c r="C250" s="287" t="n"/>
      <c r="D250" s="287" t="n"/>
      <c r="E250" s="287" t="n"/>
      <c r="F250" s="287" t="n"/>
      <c r="G250" s="287" t="inlineStr">
        <is>
          <t>V56</t>
        </is>
      </c>
      <c r="H250" s="15" t="n"/>
      <c r="I250" s="15" t="n"/>
      <c r="J250" s="15" t="n"/>
      <c r="K250" s="15" t="n"/>
      <c r="L250" s="15" t="n"/>
      <c r="M250" s="15" t="n"/>
      <c r="N250" s="15" t="n"/>
    </row>
    <row r="251" ht="18" customHeight="1"/>
    <row r="252" ht="18" customHeight="1">
      <c r="A252" s="280" t="inlineStr">
        <is>
          <t>COBRANZA VENCIDA</t>
        </is>
      </c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</row>
    <row r="253" ht="18" customHeight="1">
      <c r="A253" s="281" t="inlineStr">
        <is>
          <t>Total</t>
        </is>
      </c>
      <c r="B253" s="282" t="n">
        <v>142779</v>
      </c>
    </row>
    <row r="254" ht="18" customHeight="1">
      <c r="A254" s="283" t="inlineStr">
        <is>
          <t>Top 5</t>
        </is>
      </c>
      <c r="C254" s="284" t="n"/>
      <c r="D254" s="284" t="n"/>
      <c r="E254" s="284" t="n"/>
      <c r="F254" s="284" t="n"/>
      <c r="G254" s="284" t="n"/>
      <c r="H254" s="13" t="n"/>
      <c r="I254" s="13" t="n"/>
      <c r="J254" s="13" t="n"/>
      <c r="K254" s="13" t="n"/>
      <c r="L254" s="13" t="n"/>
      <c r="M254" s="13" t="n"/>
      <c r="N254" s="13" t="n"/>
    </row>
    <row r="255" ht="18" customHeight="1">
      <c r="A255" s="285" t="inlineStr">
        <is>
          <t>1er</t>
        </is>
      </c>
      <c r="B255" s="286" t="n">
        <v>22753</v>
      </c>
      <c r="C255" s="287" t="inlineStr">
        <is>
          <t>EDGAR</t>
        </is>
      </c>
      <c r="D255" s="287" t="n"/>
      <c r="E255" s="287" t="n"/>
      <c r="F255" s="287" t="n"/>
      <c r="G255" s="287" t="n"/>
      <c r="H255" s="15" t="n"/>
      <c r="I255" s="15" t="n"/>
      <c r="J255" s="15" t="n"/>
      <c r="K255" s="15" t="n"/>
      <c r="L255" s="15" t="n"/>
      <c r="M255" s="15" t="n"/>
      <c r="N255" s="15" t="n"/>
    </row>
    <row r="256" ht="18" customHeight="1">
      <c r="A256" s="285" t="inlineStr">
        <is>
          <t>2o</t>
        </is>
      </c>
      <c r="B256" s="286" t="n">
        <v>22418</v>
      </c>
      <c r="C256" s="287" t="n"/>
      <c r="D256" s="287" t="inlineStr">
        <is>
          <t>V39</t>
        </is>
      </c>
      <c r="E256" s="287" t="n"/>
      <c r="F256" s="287" t="n"/>
      <c r="G256" s="287" t="n"/>
      <c r="H256" s="15" t="n"/>
      <c r="I256" s="15" t="n"/>
      <c r="J256" s="15" t="n"/>
      <c r="K256" s="15" t="n"/>
      <c r="L256" s="15" t="n"/>
      <c r="M256" s="15" t="n"/>
      <c r="N256" s="15" t="n"/>
    </row>
    <row r="257" ht="18" customHeight="1">
      <c r="A257" s="285" t="inlineStr">
        <is>
          <t>3er</t>
        </is>
      </c>
      <c r="B257" s="286" t="n">
        <v>22157</v>
      </c>
      <c r="C257" s="287" t="n"/>
      <c r="D257" s="287" t="n"/>
      <c r="E257" s="287" t="inlineStr">
        <is>
          <t>EDUARDO</t>
        </is>
      </c>
      <c r="F257" s="287" t="n"/>
      <c r="G257" s="287" t="n"/>
      <c r="H257" s="15" t="n"/>
      <c r="I257" s="15" t="n"/>
      <c r="J257" s="15" t="n"/>
      <c r="K257" s="15" t="n"/>
      <c r="L257" s="15" t="n"/>
      <c r="M257" s="15" t="n"/>
      <c r="N257" s="15" t="n"/>
    </row>
    <row r="258" ht="18" customHeight="1">
      <c r="A258" s="285" t="inlineStr">
        <is>
          <t>4o</t>
        </is>
      </c>
      <c r="B258" s="286" t="n">
        <v>19559</v>
      </c>
      <c r="C258" s="287" t="n"/>
      <c r="D258" s="287" t="n"/>
      <c r="E258" s="287" t="n"/>
      <c r="F258" s="287" t="inlineStr">
        <is>
          <t>DEPOSITO</t>
        </is>
      </c>
      <c r="G258" s="287" t="n"/>
      <c r="H258" s="15" t="n"/>
      <c r="I258" s="15" t="n"/>
      <c r="J258" s="15" t="n"/>
      <c r="K258" s="15" t="n"/>
      <c r="L258" s="15" t="n"/>
      <c r="M258" s="15" t="n"/>
      <c r="N258" s="15" t="n"/>
    </row>
    <row r="259" ht="18" customHeight="1">
      <c r="A259" s="285" t="inlineStr">
        <is>
          <t>5o</t>
        </is>
      </c>
      <c r="B259" s="286" t="n">
        <v>18767</v>
      </c>
      <c r="C259" s="287" t="n"/>
      <c r="D259" s="287" t="n"/>
      <c r="E259" s="287" t="n"/>
      <c r="F259" s="287" t="n"/>
      <c r="G259" s="287" t="inlineStr">
        <is>
          <t>FRANCISCO</t>
        </is>
      </c>
      <c r="H259" s="15" t="n"/>
      <c r="I259" s="15" t="n"/>
      <c r="J259" s="15" t="n"/>
      <c r="K259" s="15" t="n"/>
      <c r="L259" s="15" t="n"/>
      <c r="M259" s="15" t="n"/>
      <c r="N259" s="15" t="n"/>
    </row>
    <row r="260" ht="18" customHeight="1"/>
    <row r="261" ht="18" customHeight="1">
      <c r="A261" s="280" t="inlineStr">
        <is>
          <t>COBRANZA EFECTIVA</t>
        </is>
      </c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</row>
    <row r="262" ht="18" customHeight="1">
      <c r="A262" s="281" t="inlineStr">
        <is>
          <t>Total</t>
        </is>
      </c>
      <c r="B262" s="282" t="n">
        <v>1017950</v>
      </c>
    </row>
    <row r="263" ht="18" customHeight="1">
      <c r="A263" s="283" t="inlineStr">
        <is>
          <t>Top 5</t>
        </is>
      </c>
      <c r="C263" s="284" t="n"/>
      <c r="D263" s="284" t="n"/>
      <c r="E263" s="284" t="n"/>
      <c r="F263" s="284" t="n"/>
      <c r="G263" s="284" t="n"/>
      <c r="H263" s="13" t="n"/>
      <c r="I263" s="13" t="n"/>
      <c r="J263" s="13" t="n"/>
      <c r="K263" s="13" t="n"/>
      <c r="L263" s="13" t="n"/>
      <c r="M263" s="13" t="n"/>
      <c r="N263" s="13" t="n"/>
    </row>
    <row r="264" ht="18" customHeight="1">
      <c r="A264" s="285" t="inlineStr">
        <is>
          <t>1er</t>
        </is>
      </c>
      <c r="B264" s="286" t="n">
        <v>226674</v>
      </c>
      <c r="C264" s="287" t="inlineStr">
        <is>
          <t>DEPOSITO</t>
        </is>
      </c>
      <c r="D264" s="287" t="n"/>
      <c r="E264" s="287" t="n"/>
      <c r="F264" s="287" t="n"/>
      <c r="G264" s="287" t="n"/>
      <c r="H264" s="15" t="n"/>
      <c r="I264" s="15" t="n"/>
      <c r="J264" s="15" t="n"/>
      <c r="K264" s="15" t="n"/>
      <c r="L264" s="15" t="n"/>
      <c r="M264" s="15" t="n"/>
      <c r="N264" s="15" t="n"/>
    </row>
    <row r="265" ht="18" customHeight="1">
      <c r="A265" s="285" t="inlineStr">
        <is>
          <t>2o</t>
        </is>
      </c>
      <c r="B265" s="286" t="n">
        <v>174488</v>
      </c>
      <c r="C265" s="287" t="n"/>
      <c r="D265" s="287" t="inlineStr">
        <is>
          <t>EDGAR</t>
        </is>
      </c>
      <c r="E265" s="287" t="n"/>
      <c r="F265" s="287" t="n"/>
      <c r="G265" s="287" t="n"/>
      <c r="H265" s="15" t="n"/>
      <c r="I265" s="15" t="n"/>
      <c r="J265" s="15" t="n"/>
      <c r="K265" s="15" t="n"/>
      <c r="L265" s="15" t="n"/>
      <c r="M265" s="15" t="n"/>
      <c r="N265" s="15" t="n"/>
    </row>
    <row r="266" ht="18" customHeight="1">
      <c r="A266" s="285" t="inlineStr">
        <is>
          <t>3er</t>
        </is>
      </c>
      <c r="B266" s="286" t="n">
        <v>117049</v>
      </c>
      <c r="C266" s="287" t="n"/>
      <c r="D266" s="287" t="n"/>
      <c r="E266" s="287" t="inlineStr">
        <is>
          <t>JORGE</t>
        </is>
      </c>
      <c r="F266" s="287" t="n"/>
      <c r="G266" s="287" t="n"/>
      <c r="H266" s="15" t="n"/>
      <c r="I266" s="15" t="n"/>
      <c r="J266" s="15" t="n"/>
      <c r="K266" s="15" t="n"/>
      <c r="L266" s="15" t="n"/>
      <c r="M266" s="15" t="n"/>
      <c r="N266" s="15" t="n"/>
    </row>
    <row r="267" ht="18" customHeight="1">
      <c r="A267" s="285" t="inlineStr">
        <is>
          <t>4o</t>
        </is>
      </c>
      <c r="B267" s="286" t="n">
        <v>109425</v>
      </c>
      <c r="C267" s="287" t="n"/>
      <c r="D267" s="287" t="n"/>
      <c r="E267" s="287" t="n"/>
      <c r="F267" s="287" t="inlineStr">
        <is>
          <t>FRANCISCO</t>
        </is>
      </c>
      <c r="G267" s="287" t="n"/>
      <c r="H267" s="15" t="n"/>
      <c r="I267" s="15" t="n"/>
      <c r="J267" s="15" t="n"/>
      <c r="K267" s="15" t="n"/>
      <c r="L267" s="15" t="n"/>
      <c r="M267" s="15" t="n"/>
      <c r="N267" s="15" t="n"/>
    </row>
    <row r="268" ht="18" customHeight="1">
      <c r="A268" s="285" t="inlineStr">
        <is>
          <t>5o</t>
        </is>
      </c>
      <c r="B268" s="286" t="n">
        <v>57711</v>
      </c>
      <c r="C268" s="287" t="n"/>
      <c r="D268" s="287" t="n"/>
      <c r="E268" s="287" t="n"/>
      <c r="F268" s="287" t="n"/>
      <c r="G268" s="287" t="inlineStr">
        <is>
          <t>V39</t>
        </is>
      </c>
      <c r="H268" s="15" t="n"/>
      <c r="I268" s="15" t="n"/>
      <c r="J268" s="15" t="n"/>
      <c r="K268" s="15" t="n"/>
      <c r="L268" s="15" t="n"/>
      <c r="M268" s="15" t="n"/>
      <c r="N268" s="15" t="n"/>
    </row>
    <row r="269" ht="18" customHeight="1"/>
    <row r="270" ht="18" customHeight="1">
      <c r="A270" s="280" t="inlineStr">
        <is>
          <t>COBRANZA RECUPERADA</t>
        </is>
      </c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</row>
    <row r="271" ht="18" customHeight="1">
      <c r="A271" s="281" t="inlineStr">
        <is>
          <t>Total</t>
        </is>
      </c>
      <c r="B271" s="282" t="n">
        <v>73871</v>
      </c>
    </row>
    <row r="272" ht="18" customHeight="1">
      <c r="A272" s="283" t="inlineStr">
        <is>
          <t>Top 5</t>
        </is>
      </c>
      <c r="C272" s="284" t="n"/>
      <c r="D272" s="284" t="n"/>
      <c r="E272" s="284" t="n"/>
      <c r="F272" s="284" t="n"/>
      <c r="G272" s="284" t="n"/>
      <c r="H272" s="13" t="n"/>
      <c r="I272" s="13" t="n"/>
      <c r="J272" s="13" t="n"/>
      <c r="K272" s="13" t="n"/>
      <c r="L272" s="13" t="n"/>
      <c r="M272" s="13" t="n"/>
      <c r="N272" s="13" t="n"/>
    </row>
    <row r="273" ht="18" customHeight="1">
      <c r="A273" s="285" t="inlineStr">
        <is>
          <t>1er</t>
        </is>
      </c>
      <c r="B273" s="286" t="n">
        <v>30063</v>
      </c>
      <c r="C273" s="287" t="inlineStr">
        <is>
          <t>V39</t>
        </is>
      </c>
      <c r="D273" s="287" t="n"/>
      <c r="E273" s="287" t="n"/>
      <c r="F273" s="287" t="n"/>
      <c r="G273" s="287" t="n"/>
      <c r="H273" s="15" t="n"/>
      <c r="I273" s="15" t="n"/>
      <c r="J273" s="15" t="n"/>
      <c r="K273" s="15" t="n"/>
      <c r="L273" s="15" t="n"/>
      <c r="M273" s="15" t="n"/>
      <c r="N273" s="15" t="n"/>
    </row>
    <row r="274" ht="18" customHeight="1">
      <c r="A274" s="285" t="inlineStr">
        <is>
          <t>2o</t>
        </is>
      </c>
      <c r="B274" s="286" t="n">
        <v>26674</v>
      </c>
      <c r="C274" s="287" t="n"/>
      <c r="D274" s="287" t="inlineStr">
        <is>
          <t>DEPOSITO</t>
        </is>
      </c>
      <c r="E274" s="287" t="n"/>
      <c r="F274" s="287" t="n"/>
      <c r="G274" s="287" t="n"/>
      <c r="H274" s="15" t="n"/>
      <c r="I274" s="15" t="n"/>
      <c r="J274" s="15" t="n"/>
      <c r="K274" s="15" t="n"/>
      <c r="L274" s="15" t="n"/>
      <c r="M274" s="15" t="n"/>
      <c r="N274" s="15" t="n"/>
    </row>
    <row r="275" ht="18" customHeight="1">
      <c r="A275" s="285" t="inlineStr">
        <is>
          <t>3er</t>
        </is>
      </c>
      <c r="B275" s="286" t="n">
        <v>10724</v>
      </c>
      <c r="C275" s="287" t="n"/>
      <c r="D275" s="287" t="n"/>
      <c r="E275" s="287" t="inlineStr">
        <is>
          <t>JORGE</t>
        </is>
      </c>
      <c r="F275" s="287" t="n"/>
      <c r="G275" s="287" t="n"/>
      <c r="H275" s="15" t="n"/>
      <c r="I275" s="15" t="n"/>
      <c r="J275" s="15" t="n"/>
      <c r="K275" s="15" t="n"/>
      <c r="L275" s="15" t="n"/>
      <c r="M275" s="15" t="n"/>
      <c r="N275" s="15" t="n"/>
    </row>
    <row r="276" ht="18" customHeight="1">
      <c r="A276" s="285" t="inlineStr">
        <is>
          <t>4o</t>
        </is>
      </c>
      <c r="B276" s="286" t="n">
        <v>7799</v>
      </c>
      <c r="C276" s="287" t="n"/>
      <c r="D276" s="287" t="n"/>
      <c r="E276" s="287" t="n"/>
      <c r="F276" s="287" t="inlineStr">
        <is>
          <t>EDUARDO</t>
        </is>
      </c>
      <c r="G276" s="287" t="n"/>
      <c r="H276" s="15" t="n"/>
      <c r="I276" s="15" t="n"/>
      <c r="J276" s="15" t="n"/>
      <c r="K276" s="15" t="n"/>
      <c r="L276" s="15" t="n"/>
      <c r="M276" s="15" t="n"/>
      <c r="N276" s="15" t="n"/>
    </row>
    <row r="277" ht="18" customHeight="1">
      <c r="A277" s="285" t="inlineStr">
        <is>
          <t>5o</t>
        </is>
      </c>
      <c r="B277" s="286" t="n">
        <v>5743</v>
      </c>
      <c r="C277" s="287" t="n"/>
      <c r="D277" s="287" t="n"/>
      <c r="E277" s="287" t="n"/>
      <c r="F277" s="287" t="n"/>
      <c r="G277" s="287" t="inlineStr">
        <is>
          <t>EDGAR</t>
        </is>
      </c>
      <c r="H277" s="15" t="n"/>
      <c r="I277" s="15" t="n"/>
      <c r="J277" s="15" t="n"/>
      <c r="K277" s="15" t="n"/>
      <c r="L277" s="15" t="n"/>
      <c r="M277" s="15" t="n"/>
      <c r="N277" s="15" t="n"/>
    </row>
    <row r="278" ht="18" customHeight="1"/>
    <row r="279" ht="18" customHeight="1">
      <c r="A279" s="280" t="inlineStr">
        <is>
          <t>COBRANZA TOTAL GENERAL</t>
        </is>
      </c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</row>
    <row r="280" ht="18" customHeight="1">
      <c r="A280" s="281" t="inlineStr">
        <is>
          <t>Total</t>
        </is>
      </c>
      <c r="B280" s="282" t="n">
        <v>1136869</v>
      </c>
    </row>
    <row r="281" ht="18" customHeight="1">
      <c r="A281" s="283" t="inlineStr">
        <is>
          <t>Top 5</t>
        </is>
      </c>
      <c r="C281" s="284" t="n"/>
      <c r="D281" s="284" t="n"/>
      <c r="E281" s="284" t="n"/>
      <c r="F281" s="284" t="n"/>
      <c r="G281" s="284" t="n"/>
      <c r="H281" s="13" t="n"/>
      <c r="I281" s="13" t="n"/>
      <c r="J281" s="13" t="n"/>
      <c r="K281" s="13" t="n"/>
      <c r="L281" s="13" t="n"/>
      <c r="M281" s="13" t="n"/>
      <c r="N281" s="13" t="n"/>
    </row>
    <row r="282" ht="18" customHeight="1">
      <c r="A282" s="285" t="inlineStr">
        <is>
          <t>1er</t>
        </is>
      </c>
      <c r="B282" s="286" t="n">
        <v>246701</v>
      </c>
      <c r="C282" s="287" t="inlineStr">
        <is>
          <t>DEPOSITO</t>
        </is>
      </c>
      <c r="D282" s="287" t="n"/>
      <c r="E282" s="287" t="n"/>
      <c r="F282" s="287" t="n"/>
      <c r="G282" s="287" t="n"/>
      <c r="H282" s="15" t="n"/>
      <c r="I282" s="15" t="n"/>
      <c r="J282" s="15" t="n"/>
      <c r="K282" s="15" t="n"/>
      <c r="L282" s="15" t="n"/>
      <c r="M282" s="15" t="n"/>
      <c r="N282" s="15" t="n"/>
    </row>
    <row r="283" ht="18" customHeight="1">
      <c r="A283" s="285" t="inlineStr">
        <is>
          <t>2o</t>
        </is>
      </c>
      <c r="B283" s="286" t="n">
        <v>185092</v>
      </c>
      <c r="C283" s="287" t="n"/>
      <c r="D283" s="287" t="inlineStr">
        <is>
          <t>EDGAR</t>
        </is>
      </c>
      <c r="E283" s="287" t="n"/>
      <c r="F283" s="287" t="n"/>
      <c r="G283" s="287" t="n"/>
      <c r="H283" s="15" t="n"/>
      <c r="I283" s="15" t="n"/>
      <c r="J283" s="15" t="n"/>
      <c r="K283" s="15" t="n"/>
      <c r="L283" s="15" t="n"/>
      <c r="M283" s="15" t="n"/>
      <c r="N283" s="15" t="n"/>
    </row>
    <row r="284" ht="18" customHeight="1">
      <c r="A284" s="285" t="inlineStr">
        <is>
          <t>3er</t>
        </is>
      </c>
      <c r="B284" s="286" t="n">
        <v>129392</v>
      </c>
      <c r="C284" s="287" t="n"/>
      <c r="D284" s="287" t="n"/>
      <c r="E284" s="287" t="inlineStr">
        <is>
          <t>JORGE</t>
        </is>
      </c>
      <c r="F284" s="287" t="n"/>
      <c r="G284" s="287" t="n"/>
      <c r="H284" s="15" t="n"/>
      <c r="I284" s="15" t="n"/>
      <c r="J284" s="15" t="n"/>
      <c r="K284" s="15" t="n"/>
      <c r="L284" s="15" t="n"/>
      <c r="M284" s="15" t="n"/>
      <c r="N284" s="15" t="n"/>
    </row>
    <row r="285" ht="18" customHeight="1">
      <c r="A285" s="285" t="inlineStr">
        <is>
          <t>4o</t>
        </is>
      </c>
      <c r="B285" s="286" t="n">
        <v>117118</v>
      </c>
      <c r="C285" s="287" t="n"/>
      <c r="D285" s="287" t="n"/>
      <c r="E285" s="287" t="n"/>
      <c r="F285" s="287" t="inlineStr">
        <is>
          <t>FRANCISCO</t>
        </is>
      </c>
      <c r="G285" s="287" t="n"/>
      <c r="H285" s="15" t="n"/>
      <c r="I285" s="15" t="n"/>
      <c r="J285" s="15" t="n"/>
      <c r="K285" s="15" t="n"/>
      <c r="L285" s="15" t="n"/>
      <c r="M285" s="15" t="n"/>
      <c r="N285" s="15" t="n"/>
    </row>
    <row r="286" ht="18" customHeight="1">
      <c r="A286" s="285" t="inlineStr">
        <is>
          <t>5o</t>
        </is>
      </c>
      <c r="B286" s="286" t="n">
        <v>89557</v>
      </c>
      <c r="C286" s="287" t="n"/>
      <c r="D286" s="287" t="n"/>
      <c r="E286" s="287" t="n"/>
      <c r="F286" s="287" t="n"/>
      <c r="G286" s="287" t="inlineStr">
        <is>
          <t>V39</t>
        </is>
      </c>
      <c r="H286" s="15" t="n"/>
      <c r="I286" s="15" t="n"/>
      <c r="J286" s="15" t="n"/>
      <c r="K286" s="15" t="n"/>
      <c r="L286" s="15" t="n"/>
      <c r="M286" s="15" t="n"/>
      <c r="N286" s="15" t="n"/>
    </row>
    <row r="287" ht="18" customHeight="1"/>
    <row r="288" ht="18" customHeight="1">
      <c r="A288" s="280" t="inlineStr">
        <is>
          <t>COBRANZA ADELANTADA F.</t>
        </is>
      </c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</row>
    <row r="289" ht="18" customHeight="1">
      <c r="A289" s="281" t="inlineStr">
        <is>
          <t>Total</t>
        </is>
      </c>
      <c r="B289" s="282" t="n">
        <v>2689</v>
      </c>
    </row>
    <row r="290" ht="18" customHeight="1">
      <c r="A290" s="283" t="inlineStr">
        <is>
          <t>Top 5</t>
        </is>
      </c>
      <c r="C290" s="284" t="n"/>
      <c r="D290" s="284" t="n"/>
      <c r="E290" s="284" t="n"/>
      <c r="F290" s="284" t="n"/>
      <c r="G290" s="284" t="n"/>
      <c r="H290" s="13" t="n"/>
      <c r="I290" s="13" t="n"/>
      <c r="J290" s="13" t="n"/>
      <c r="K290" s="13" t="n"/>
      <c r="L290" s="13" t="n"/>
      <c r="M290" s="13" t="n"/>
      <c r="N290" s="13" t="n"/>
    </row>
    <row r="291" ht="18" customHeight="1">
      <c r="A291" s="285" t="inlineStr">
        <is>
          <t>1er</t>
        </is>
      </c>
      <c r="B291" s="286" t="n">
        <v>2130</v>
      </c>
      <c r="C291" s="287" t="inlineStr">
        <is>
          <t>V55</t>
        </is>
      </c>
      <c r="D291" s="287" t="n"/>
      <c r="E291" s="287" t="n"/>
      <c r="F291" s="287" t="n"/>
      <c r="G291" s="287" t="n"/>
      <c r="H291" s="15" t="n"/>
      <c r="I291" s="15" t="n"/>
      <c r="J291" s="15" t="n"/>
      <c r="K291" s="15" t="n"/>
      <c r="L291" s="15" t="n"/>
      <c r="M291" s="15" t="n"/>
      <c r="N291" s="15" t="n"/>
    </row>
    <row r="292" ht="18" customHeight="1">
      <c r="A292" s="285" t="inlineStr">
        <is>
          <t>2o</t>
        </is>
      </c>
      <c r="B292" s="286" t="n">
        <v>559</v>
      </c>
      <c r="C292" s="287" t="n"/>
      <c r="D292" s="287" t="inlineStr">
        <is>
          <t>DEPOSITO</t>
        </is>
      </c>
      <c r="E292" s="287" t="n"/>
      <c r="F292" s="287" t="n"/>
      <c r="G292" s="287" t="n"/>
      <c r="H292" s="15" t="n"/>
      <c r="I292" s="15" t="n"/>
      <c r="J292" s="15" t="n"/>
      <c r="K292" s="15" t="n"/>
      <c r="L292" s="15" t="n"/>
      <c r="M292" s="15" t="n"/>
      <c r="N292" s="15" t="n"/>
    </row>
    <row r="293" ht="18" customHeight="1">
      <c r="A293" s="285" t="inlineStr">
        <is>
          <t>3er</t>
        </is>
      </c>
      <c r="B293" s="286" t="n"/>
      <c r="C293" s="287" t="n"/>
      <c r="D293" s="287" t="n"/>
      <c r="E293" s="287" t="n"/>
      <c r="F293" s="287" t="n"/>
      <c r="G293" s="287" t="n"/>
      <c r="H293" s="15" t="n"/>
      <c r="I293" s="15" t="n"/>
      <c r="J293" s="15" t="n"/>
      <c r="K293" s="15" t="n"/>
      <c r="L293" s="15" t="n"/>
      <c r="M293" s="15" t="n"/>
      <c r="N293" s="15" t="n"/>
    </row>
    <row r="294" ht="18" customHeight="1">
      <c r="A294" s="285" t="inlineStr">
        <is>
          <t>4o</t>
        </is>
      </c>
      <c r="B294" s="286" t="n"/>
      <c r="C294" s="287" t="n"/>
      <c r="D294" s="287" t="n"/>
      <c r="E294" s="287" t="n"/>
      <c r="F294" s="287" t="n"/>
      <c r="G294" s="287" t="n"/>
      <c r="H294" s="15" t="n"/>
      <c r="I294" s="15" t="n"/>
      <c r="J294" s="15" t="n"/>
      <c r="K294" s="15" t="n"/>
      <c r="L294" s="15" t="n"/>
      <c r="M294" s="15" t="n"/>
      <c r="N294" s="15" t="n"/>
    </row>
    <row r="295" ht="18" customHeight="1">
      <c r="A295" s="285" t="inlineStr">
        <is>
          <t>5o</t>
        </is>
      </c>
      <c r="B295" s="286" t="n"/>
      <c r="C295" s="287" t="n"/>
      <c r="D295" s="287" t="n"/>
      <c r="E295" s="287" t="n"/>
      <c r="F295" s="287" t="n"/>
      <c r="G295" s="287" t="n"/>
      <c r="H295" s="15" t="n"/>
      <c r="I295" s="15" t="n"/>
      <c r="J295" s="15" t="n"/>
      <c r="K295" s="15" t="n"/>
      <c r="L295" s="15" t="n"/>
      <c r="M295" s="15" t="n"/>
      <c r="N295" s="15" t="n"/>
    </row>
    <row r="296" ht="18" customHeight="1"/>
    <row r="297" ht="18" customHeight="1">
      <c r="A297" s="280" t="inlineStr">
        <is>
          <t>PROYECCIÓN ABRIL → ABRIL</t>
        </is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</row>
    <row r="298" ht="18" customHeight="1">
      <c r="A298" s="281" t="inlineStr">
        <is>
          <t>Proyección ABRIL</t>
        </is>
      </c>
      <c r="B298" s="282" t="n">
        <v>1031832</v>
      </c>
    </row>
    <row r="299" ht="18" customHeight="1"/>
    <row r="300" ht="18" customHeight="1"/>
    <row r="301" ht="24" customHeight="1">
      <c r="A301" s="277" t="inlineStr">
        <is>
          <t>MAYO 2026</t>
        </is>
      </c>
    </row>
    <row r="302" ht="18" customHeight="1">
      <c r="A302" s="5" t="inlineStr">
        <is>
          <t>CONCEPTO</t>
        </is>
      </c>
      <c r="B302" s="5" t="inlineStr">
        <is>
          <t>TOTAL ($)</t>
        </is>
      </c>
      <c r="C302" s="5" t="inlineStr">
        <is>
          <t>TOP 1</t>
        </is>
      </c>
      <c r="D302" s="5" t="inlineStr">
        <is>
          <t>TOP 2</t>
        </is>
      </c>
      <c r="E302" s="5" t="inlineStr">
        <is>
          <t>TOP 3</t>
        </is>
      </c>
      <c r="F302" s="5" t="inlineStr">
        <is>
          <t>TOP 4</t>
        </is>
      </c>
      <c r="G302" s="5" t="inlineStr">
        <is>
          <t>TOP 5</t>
        </is>
      </c>
      <c r="H302" s="5" t="inlineStr">
        <is>
          <t>% TOP 1</t>
        </is>
      </c>
      <c r="I302" s="5" t="inlineStr">
        <is>
          <t>% TOP 2</t>
        </is>
      </c>
      <c r="J302" s="5" t="inlineStr">
        <is>
          <t>% TOP 3</t>
        </is>
      </c>
      <c r="K302" s="5" t="inlineStr">
        <is>
          <t>% TOP 4</t>
        </is>
      </c>
      <c r="L302" s="5" t="inlineStr">
        <is>
          <t>% TOP 5</t>
        </is>
      </c>
      <c r="M302" s="5" t="inlineStr">
        <is>
          <t>% ACUM.</t>
        </is>
      </c>
    </row>
    <row r="303" ht="18" customHeight="1">
      <c r="A303" s="35" t="inlineStr">
        <is>
          <t>DATOS GENERALES</t>
        </is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</row>
    <row r="304" ht="18" customHeight="1">
      <c r="A304" s="8" t="inlineStr">
        <is>
          <t>Mes</t>
        </is>
      </c>
      <c r="B304" s="9" t="inlineStr">
        <is>
          <t>MAYO</t>
        </is>
      </c>
      <c r="E304" s="8" t="inlineStr">
        <is>
          <t>Año</t>
        </is>
      </c>
      <c r="F304" s="9" t="inlineStr">
        <is>
          <t>2026</t>
        </is>
      </c>
    </row>
    <row r="305" ht="18" customHeight="1">
      <c r="A305" s="8" t="inlineStr">
        <is>
          <t>Fecha de corte</t>
        </is>
      </c>
      <c r="B305" s="10" t="n"/>
      <c r="E305" s="8" t="inlineStr">
        <is>
          <t>Elaboró</t>
        </is>
      </c>
      <c r="F305" s="10" t="n"/>
    </row>
    <row r="306" ht="18" customHeight="1">
      <c r="A306" s="8" t="inlineStr">
        <is>
          <t>Reportado por</t>
        </is>
      </c>
      <c r="B306" s="10" t="n"/>
      <c r="E306" s="8" t="inlineStr">
        <is>
          <t>Cargo</t>
        </is>
      </c>
      <c r="F306" s="10" t="n"/>
    </row>
    <row r="307" ht="18" customHeight="1"/>
    <row r="308" ht="18" customHeight="1">
      <c r="A308" s="35" t="inlineStr">
        <is>
          <t>COBRANZA CORRIENTE</t>
        </is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</row>
    <row r="309" ht="18" customHeight="1">
      <c r="A309" s="8" t="inlineStr">
        <is>
          <t>Total</t>
        </is>
      </c>
      <c r="B309" s="11" t="n"/>
    </row>
    <row r="310" ht="18" customHeight="1">
      <c r="A310" s="12" t="inlineStr">
        <is>
          <t>Top 5</t>
        </is>
      </c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</row>
    <row r="311" ht="18" customHeight="1">
      <c r="A311" s="14" t="inlineStr">
        <is>
          <t>1er lugar</t>
        </is>
      </c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</row>
    <row r="312" ht="18" customHeight="1">
      <c r="A312" s="14" t="inlineStr">
        <is>
          <t>2o lugar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</row>
    <row r="313" ht="18" customHeight="1">
      <c r="A313" s="14" t="inlineStr">
        <is>
          <t>3er lugar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</row>
    <row r="314" ht="18" customHeight="1">
      <c r="A314" s="14" t="inlineStr">
        <is>
          <t>4o lugar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</row>
    <row r="315" ht="18" customHeight="1">
      <c r="A315" s="14" t="inlineStr">
        <is>
          <t>5o lugar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</row>
    <row r="316" ht="18" customHeight="1"/>
    <row r="317" ht="18" customHeight="1">
      <c r="A317" s="35" t="inlineStr">
        <is>
          <t>CANCELACIONES</t>
        </is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</row>
    <row r="318" ht="18" customHeight="1">
      <c r="A318" s="16" t="inlineStr">
        <is>
          <t>Total</t>
        </is>
      </c>
      <c r="B318" s="17" t="n"/>
    </row>
    <row r="319" ht="18" customHeight="1">
      <c r="A319" s="12" t="inlineStr">
        <is>
          <t>Top 5</t>
        </is>
      </c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</row>
    <row r="320" ht="18" customHeight="1">
      <c r="A320" s="14" t="inlineStr">
        <is>
          <t>1er lugar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</row>
    <row r="321" ht="18" customHeight="1">
      <c r="A321" s="14" t="inlineStr">
        <is>
          <t>2o lugar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</row>
    <row r="322" ht="18" customHeight="1">
      <c r="A322" s="14" t="inlineStr">
        <is>
          <t>3er lugar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</row>
    <row r="323" ht="18" customHeight="1">
      <c r="A323" s="14" t="inlineStr">
        <is>
          <t>4o lugar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</row>
    <row r="324" ht="18" customHeight="1">
      <c r="A324" s="14" t="inlineStr">
        <is>
          <t>5o lugar</t>
        </is>
      </c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</row>
    <row r="325" ht="6" customHeight="1"/>
    <row r="326">
      <c r="A326" s="35" t="inlineStr">
        <is>
          <t>COBRANZA VENCIDA</t>
        </is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</row>
    <row r="327" ht="20" customHeight="1">
      <c r="A327" s="8" t="inlineStr">
        <is>
          <t>Total</t>
        </is>
      </c>
      <c r="B327" s="11" t="n"/>
    </row>
    <row r="328" ht="18" customHeight="1">
      <c r="A328" s="12" t="inlineStr">
        <is>
          <t>Top 5</t>
        </is>
      </c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</row>
    <row r="329" ht="18" customHeight="1">
      <c r="A329" s="14" t="inlineStr">
        <is>
          <t>1er lugar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</row>
    <row r="330" ht="18" customHeight="1">
      <c r="A330" s="14" t="inlineStr">
        <is>
          <t>2o lugar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</row>
    <row r="331" ht="18" customHeight="1">
      <c r="A331" s="14" t="inlineStr">
        <is>
          <t>3er lugar</t>
        </is>
      </c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</row>
    <row r="332" ht="18" customHeight="1">
      <c r="A332" s="14" t="inlineStr">
        <is>
          <t>4o lugar</t>
        </is>
      </c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</row>
    <row r="333" ht="18" customHeight="1">
      <c r="A333" s="14" t="inlineStr">
        <is>
          <t>5o lugar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</row>
    <row r="334" ht="6" customHeight="1"/>
    <row r="335">
      <c r="A335" s="35" t="inlineStr">
        <is>
          <t>COBRANZA EFECTIVA</t>
        </is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</row>
    <row r="336" ht="20" customHeight="1">
      <c r="A336" s="16" t="inlineStr">
        <is>
          <t>Total</t>
        </is>
      </c>
      <c r="B336" s="17" t="n"/>
    </row>
    <row r="337" ht="18" customHeight="1">
      <c r="A337" s="12" t="inlineStr">
        <is>
          <t>Top 5</t>
        </is>
      </c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</row>
    <row r="338" ht="18" customHeight="1">
      <c r="A338" s="14" t="inlineStr">
        <is>
          <t>1er lugar</t>
        </is>
      </c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</row>
    <row r="339" ht="18" customHeight="1">
      <c r="A339" s="14" t="inlineStr">
        <is>
          <t>2o lugar</t>
        </is>
      </c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</row>
    <row r="340" ht="18" customHeight="1">
      <c r="A340" s="14" t="inlineStr">
        <is>
          <t>3er lugar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</row>
    <row r="341" ht="18" customHeight="1">
      <c r="A341" s="14" t="inlineStr">
        <is>
          <t>4o lugar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</row>
    <row r="342" ht="18" customHeight="1">
      <c r="A342" s="14" t="inlineStr">
        <is>
          <t>5o lugar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</row>
    <row r="343" ht="6" customHeight="1"/>
    <row r="344">
      <c r="A344" s="35" t="inlineStr">
        <is>
          <t>COBRANZA RECUPERADA</t>
        </is>
      </c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</row>
    <row r="345" ht="20" customHeight="1">
      <c r="A345" s="8" t="inlineStr">
        <is>
          <t>Total</t>
        </is>
      </c>
      <c r="B345" s="11" t="n"/>
    </row>
    <row r="346" ht="18" customHeight="1">
      <c r="A346" s="12" t="inlineStr">
        <is>
          <t>Top 5</t>
        </is>
      </c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</row>
    <row r="347" ht="18" customHeight="1">
      <c r="A347" s="14" t="inlineStr">
        <is>
          <t>1er lugar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 ht="18" customHeight="1">
      <c r="A348" s="14" t="inlineStr">
        <is>
          <t>2o lugar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 ht="18" customHeight="1">
      <c r="A349" s="14" t="inlineStr">
        <is>
          <t>3er lugar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 ht="18" customHeight="1">
      <c r="A350" s="14" t="inlineStr">
        <is>
          <t>4o lugar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 ht="18" customHeight="1">
      <c r="A351" s="14" t="inlineStr">
        <is>
          <t>5o lugar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 ht="6" customHeight="1"/>
    <row r="353">
      <c r="A353" s="35" t="inlineStr">
        <is>
          <t>COBRANZA TOTAL GENERAL</t>
        </is>
      </c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</row>
    <row r="354" ht="20" customHeight="1">
      <c r="A354" s="16" t="inlineStr">
        <is>
          <t>Total</t>
        </is>
      </c>
      <c r="B354" s="17" t="n"/>
    </row>
    <row r="355" ht="18" customHeight="1">
      <c r="A355" s="12" t="inlineStr">
        <is>
          <t>Top 5</t>
        </is>
      </c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</row>
    <row r="356" ht="18" customHeight="1">
      <c r="A356" s="14" t="inlineStr">
        <is>
          <t>1er lugar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 ht="18" customHeight="1">
      <c r="A357" s="14" t="inlineStr">
        <is>
          <t>2o lugar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 ht="18" customHeight="1">
      <c r="A358" s="14" t="inlineStr">
        <is>
          <t>3er lugar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 ht="18" customHeight="1">
      <c r="A359" s="14" t="inlineStr">
        <is>
          <t>4o lugar</t>
        </is>
      </c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 ht="18" customHeight="1">
      <c r="A360" s="14" t="inlineStr">
        <is>
          <t>5o lugar</t>
        </is>
      </c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 ht="6" customHeight="1"/>
    <row r="362">
      <c r="A362" s="35" t="inlineStr">
        <is>
          <t>COBRANZA ADELANTADA F.</t>
        </is>
      </c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</row>
    <row r="363" ht="20" customHeight="1">
      <c r="A363" s="8" t="inlineStr">
        <is>
          <t>Total</t>
        </is>
      </c>
      <c r="B363" s="11" t="n"/>
    </row>
    <row r="364" ht="18" customHeight="1">
      <c r="A364" s="12" t="inlineStr">
        <is>
          <t>Top 5</t>
        </is>
      </c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</row>
    <row r="365" ht="18" customHeight="1">
      <c r="A365" s="14" t="inlineStr">
        <is>
          <t>1er lugar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 ht="18" customHeight="1">
      <c r="A366" s="14" t="inlineStr">
        <is>
          <t>2o lugar</t>
        </is>
      </c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 ht="18" customHeight="1">
      <c r="A367" s="14" t="inlineStr">
        <is>
          <t>3er lugar</t>
        </is>
      </c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 ht="18" customHeight="1">
      <c r="A368" s="14" t="inlineStr">
        <is>
          <t>4o lugar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 ht="18" customHeight="1">
      <c r="A369" s="14" t="inlineStr">
        <is>
          <t>5o lugar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 ht="6" customHeight="1"/>
    <row r="371">
      <c r="A371" s="82" t="inlineStr">
        <is>
          <t>PROYECCIÓN MAYO → MAYO</t>
        </is>
      </c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</row>
    <row r="372">
      <c r="A372" s="19" t="inlineStr">
        <is>
          <t>Proyección MAYO</t>
        </is>
      </c>
      <c r="B372" s="20" t="n"/>
    </row>
    <row r="374" ht="14" customHeight="1"/>
    <row r="375" ht="22" customHeight="1">
      <c r="A375" s="4" t="inlineStr">
        <is>
          <t>JUNIO 2026</t>
        </is>
      </c>
    </row>
    <row r="376" ht="28" customHeight="1">
      <c r="A376" s="5" t="inlineStr">
        <is>
          <t>CONCEPTO</t>
        </is>
      </c>
      <c r="B376" s="5" t="inlineStr">
        <is>
          <t>TOTAL ($)</t>
        </is>
      </c>
      <c r="C376" s="5" t="inlineStr">
        <is>
          <t>TOP 1</t>
        </is>
      </c>
      <c r="D376" s="5" t="inlineStr">
        <is>
          <t>TOP 2</t>
        </is>
      </c>
      <c r="E376" s="5" t="inlineStr">
        <is>
          <t>TOP 3</t>
        </is>
      </c>
      <c r="F376" s="5" t="inlineStr">
        <is>
          <t>TOP 4</t>
        </is>
      </c>
      <c r="G376" s="5" t="inlineStr">
        <is>
          <t>TOP 5</t>
        </is>
      </c>
      <c r="H376" s="5" t="inlineStr">
        <is>
          <t>% TOP 1</t>
        </is>
      </c>
      <c r="I376" s="5" t="inlineStr">
        <is>
          <t>% TOP 2</t>
        </is>
      </c>
      <c r="J376" s="5" t="inlineStr">
        <is>
          <t>% TOP 3</t>
        </is>
      </c>
      <c r="K376" s="5" t="inlineStr">
        <is>
          <t>% TOP 4</t>
        </is>
      </c>
      <c r="L376" s="5" t="inlineStr">
        <is>
          <t>% TOP 5</t>
        </is>
      </c>
      <c r="M376" s="5" t="inlineStr">
        <is>
          <t>% ACUM.</t>
        </is>
      </c>
    </row>
    <row r="377">
      <c r="A377" s="35" t="inlineStr">
        <is>
          <t>DATOS GENERALES</t>
        </is>
      </c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</row>
    <row r="378">
      <c r="A378" s="8" t="inlineStr">
        <is>
          <t>Mes</t>
        </is>
      </c>
      <c r="B378" s="9" t="inlineStr">
        <is>
          <t>JUNIO</t>
        </is>
      </c>
      <c r="E378" s="8" t="inlineStr">
        <is>
          <t>Año</t>
        </is>
      </c>
      <c r="F378" s="9" t="inlineStr">
        <is>
          <t>2026</t>
        </is>
      </c>
    </row>
    <row r="379">
      <c r="A379" s="8" t="inlineStr">
        <is>
          <t>Fecha de corte</t>
        </is>
      </c>
      <c r="B379" s="10" t="n"/>
      <c r="E379" s="8" t="inlineStr">
        <is>
          <t>Elaboró</t>
        </is>
      </c>
      <c r="F379" s="10" t="n"/>
    </row>
    <row r="380">
      <c r="A380" s="8" t="inlineStr">
        <is>
          <t>Reportado por</t>
        </is>
      </c>
      <c r="B380" s="10" t="n"/>
      <c r="E380" s="8" t="inlineStr">
        <is>
          <t>Cargo</t>
        </is>
      </c>
      <c r="F380" s="10" t="n"/>
    </row>
    <row r="381" ht="6" customHeight="1"/>
    <row r="382">
      <c r="A382" s="35" t="inlineStr">
        <is>
          <t>COBRANZA CORRIENTE</t>
        </is>
      </c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</row>
    <row r="383" ht="20" customHeight="1">
      <c r="A383" s="8" t="inlineStr">
        <is>
          <t>Total</t>
        </is>
      </c>
      <c r="B383" s="11" t="n"/>
    </row>
    <row r="384" ht="18" customHeight="1">
      <c r="A384" s="12" t="inlineStr">
        <is>
          <t>Top 5</t>
        </is>
      </c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</row>
    <row r="385" ht="18" customHeight="1">
      <c r="A385" s="14" t="inlineStr">
        <is>
          <t>1er lugar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</row>
    <row r="386" ht="18" customHeight="1">
      <c r="A386" s="14" t="inlineStr">
        <is>
          <t>2o lugar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</row>
    <row r="387" ht="18" customHeight="1">
      <c r="A387" s="14" t="inlineStr">
        <is>
          <t>3er lugar</t>
        </is>
      </c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</row>
    <row r="388" ht="18" customHeight="1">
      <c r="A388" s="14" t="inlineStr">
        <is>
          <t>4o lugar</t>
        </is>
      </c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</row>
    <row r="389" ht="18" customHeight="1">
      <c r="A389" s="14" t="inlineStr">
        <is>
          <t>5o lugar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</row>
    <row r="390" ht="6" customHeight="1"/>
    <row r="391">
      <c r="A391" s="35" t="inlineStr">
        <is>
          <t>CANCELACIONES</t>
        </is>
      </c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</row>
    <row r="392" ht="20" customHeight="1">
      <c r="A392" s="16" t="inlineStr">
        <is>
          <t>Total</t>
        </is>
      </c>
      <c r="B392" s="17" t="n"/>
    </row>
    <row r="393" ht="18" customHeight="1">
      <c r="A393" s="12" t="inlineStr">
        <is>
          <t>Top 5</t>
        </is>
      </c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</row>
    <row r="394" ht="18" customHeight="1">
      <c r="A394" s="14" t="inlineStr">
        <is>
          <t>1er lugar</t>
        </is>
      </c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</row>
    <row r="395" ht="18" customHeight="1">
      <c r="A395" s="14" t="inlineStr">
        <is>
          <t>2o lugar</t>
        </is>
      </c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</row>
    <row r="396" ht="18" customHeight="1">
      <c r="A396" s="14" t="inlineStr">
        <is>
          <t>3er lugar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</row>
    <row r="397" ht="18" customHeight="1">
      <c r="A397" s="14" t="inlineStr">
        <is>
          <t>4o lugar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</row>
    <row r="398" ht="18" customHeight="1">
      <c r="A398" s="14" t="inlineStr">
        <is>
          <t>5o lugar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</row>
    <row r="399" ht="6" customHeight="1"/>
    <row r="400">
      <c r="A400" s="35" t="inlineStr">
        <is>
          <t>COBRANZA VENCIDA</t>
        </is>
      </c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</row>
    <row r="401" ht="20" customHeight="1">
      <c r="A401" s="8" t="inlineStr">
        <is>
          <t>Total</t>
        </is>
      </c>
      <c r="B401" s="11" t="n"/>
    </row>
    <row r="402" ht="18" customHeight="1">
      <c r="A402" s="12" t="inlineStr">
        <is>
          <t>Top 5</t>
        </is>
      </c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</row>
    <row r="403" ht="18" customHeight="1">
      <c r="A403" s="14" t="inlineStr">
        <is>
          <t>1er lugar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</row>
    <row r="404" ht="18" customHeight="1">
      <c r="A404" s="14" t="inlineStr">
        <is>
          <t>2o lugar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</row>
    <row r="405" ht="18" customHeight="1">
      <c r="A405" s="14" t="inlineStr">
        <is>
          <t>3er lugar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</row>
    <row r="406" ht="18" customHeight="1">
      <c r="A406" s="14" t="inlineStr">
        <is>
          <t>4o lugar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</row>
    <row r="407" ht="18" customHeight="1">
      <c r="A407" s="14" t="inlineStr">
        <is>
          <t>5o lugar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</row>
    <row r="408" ht="6" customHeight="1"/>
    <row r="409">
      <c r="A409" s="35" t="inlineStr">
        <is>
          <t>COBRANZA EFECTIVA</t>
        </is>
      </c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</row>
    <row r="410" ht="20" customHeight="1">
      <c r="A410" s="16" t="inlineStr">
        <is>
          <t>Total</t>
        </is>
      </c>
      <c r="B410" s="17" t="n"/>
    </row>
    <row r="411" ht="18" customHeight="1">
      <c r="A411" s="12" t="inlineStr">
        <is>
          <t>Top 5</t>
        </is>
      </c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</row>
    <row r="412" ht="18" customHeight="1">
      <c r="A412" s="14" t="inlineStr">
        <is>
          <t>1er lugar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</row>
    <row r="413" ht="18" customHeight="1">
      <c r="A413" s="14" t="inlineStr">
        <is>
          <t>2o lugar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</row>
    <row r="414" ht="18" customHeight="1">
      <c r="A414" s="14" t="inlineStr">
        <is>
          <t>3er lugar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</row>
    <row r="415" ht="18" customHeight="1">
      <c r="A415" s="14" t="inlineStr">
        <is>
          <t>4o lugar</t>
        </is>
      </c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</row>
    <row r="416" ht="18" customHeight="1">
      <c r="A416" s="14" t="inlineStr">
        <is>
          <t>5o lugar</t>
        </is>
      </c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</row>
    <row r="417" ht="6" customHeight="1"/>
    <row r="418">
      <c r="A418" s="35" t="inlineStr">
        <is>
          <t>COBRANZA RECUPERADA</t>
        </is>
      </c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</row>
    <row r="419" ht="20" customHeight="1">
      <c r="A419" s="8" t="inlineStr">
        <is>
          <t>Total</t>
        </is>
      </c>
      <c r="B419" s="11" t="n"/>
    </row>
    <row r="420" ht="18" customHeight="1">
      <c r="A420" s="12" t="inlineStr">
        <is>
          <t>Top 5</t>
        </is>
      </c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</row>
    <row r="421" ht="18" customHeight="1">
      <c r="A421" s="14" t="inlineStr">
        <is>
          <t>1er lugar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</row>
    <row r="422" ht="18" customHeight="1">
      <c r="A422" s="14" t="inlineStr">
        <is>
          <t>2o lugar</t>
        </is>
      </c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</row>
    <row r="423" ht="18" customHeight="1">
      <c r="A423" s="14" t="inlineStr">
        <is>
          <t>3er lugar</t>
        </is>
      </c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</row>
    <row r="424" ht="18" customHeight="1">
      <c r="A424" s="14" t="inlineStr">
        <is>
          <t>4o lugar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</row>
    <row r="425" ht="18" customHeight="1">
      <c r="A425" s="14" t="inlineStr">
        <is>
          <t>5o lugar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</row>
    <row r="426" ht="6" customHeight="1"/>
    <row r="427">
      <c r="A427" s="35" t="inlineStr">
        <is>
          <t>COBRANZA TOTAL GENERAL</t>
        </is>
      </c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</row>
    <row r="428" ht="20" customHeight="1">
      <c r="A428" s="16" t="inlineStr">
        <is>
          <t>Total</t>
        </is>
      </c>
      <c r="B428" s="17" t="n"/>
    </row>
    <row r="429" ht="18" customHeight="1">
      <c r="A429" s="12" t="inlineStr">
        <is>
          <t>Top 5</t>
        </is>
      </c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</row>
    <row r="430" ht="18" customHeight="1">
      <c r="A430" s="14" t="inlineStr">
        <is>
          <t>1er lugar</t>
        </is>
      </c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</row>
    <row r="431" ht="18" customHeight="1">
      <c r="A431" s="14" t="inlineStr">
        <is>
          <t>2o lugar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</row>
    <row r="432" ht="18" customHeight="1">
      <c r="A432" s="14" t="inlineStr">
        <is>
          <t>3er lugar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</row>
    <row r="433" ht="18" customHeight="1">
      <c r="A433" s="14" t="inlineStr">
        <is>
          <t>4o lugar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</row>
    <row r="434" ht="18" customHeight="1">
      <c r="A434" s="14" t="inlineStr">
        <is>
          <t>5o lugar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</row>
    <row r="435" ht="6" customHeight="1"/>
    <row r="436">
      <c r="A436" s="35" t="inlineStr">
        <is>
          <t>COBRANZA ADELANTADA F.</t>
        </is>
      </c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</row>
    <row r="437" ht="20" customHeight="1">
      <c r="A437" s="8" t="inlineStr">
        <is>
          <t>Total</t>
        </is>
      </c>
      <c r="B437" s="11" t="n"/>
    </row>
    <row r="438" ht="18" customHeight="1">
      <c r="A438" s="12" t="inlineStr">
        <is>
          <t>Top 5</t>
        </is>
      </c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</row>
    <row r="439" ht="18" customHeight="1">
      <c r="A439" s="14" t="inlineStr">
        <is>
          <t>1er lugar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</row>
    <row r="440" ht="18" customHeight="1">
      <c r="A440" s="14" t="inlineStr">
        <is>
          <t>2o lugar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</row>
    <row r="441" ht="18" customHeight="1">
      <c r="A441" s="14" t="inlineStr">
        <is>
          <t>3er lugar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</row>
    <row r="442" ht="18" customHeight="1">
      <c r="A442" s="14" t="inlineStr">
        <is>
          <t>4o lugar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</row>
    <row r="443" ht="18" customHeight="1">
      <c r="A443" s="14" t="inlineStr">
        <is>
          <t>5o lugar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</row>
    <row r="444" ht="6" customHeight="1"/>
    <row r="445">
      <c r="A445" s="82" t="inlineStr">
        <is>
          <t>PROYECCIÓN JUNIO → JUNIO</t>
        </is>
      </c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</row>
    <row r="446">
      <c r="A446" s="19" t="inlineStr">
        <is>
          <t>Proyección JUNIO</t>
        </is>
      </c>
      <c r="B446" s="20" t="n"/>
    </row>
    <row r="448" ht="14" customHeight="1"/>
    <row r="449" ht="22" customHeight="1">
      <c r="A449" s="4" t="inlineStr">
        <is>
          <t>JULIO 2026</t>
        </is>
      </c>
    </row>
    <row r="450" ht="28" customHeight="1">
      <c r="A450" s="5" t="inlineStr">
        <is>
          <t>CONCEPTO</t>
        </is>
      </c>
      <c r="B450" s="5" t="inlineStr">
        <is>
          <t>TOTAL ($)</t>
        </is>
      </c>
      <c r="C450" s="5" t="inlineStr">
        <is>
          <t>TOP 1</t>
        </is>
      </c>
      <c r="D450" s="5" t="inlineStr">
        <is>
          <t>TOP 2</t>
        </is>
      </c>
      <c r="E450" s="5" t="inlineStr">
        <is>
          <t>TOP 3</t>
        </is>
      </c>
      <c r="F450" s="5" t="inlineStr">
        <is>
          <t>TOP 4</t>
        </is>
      </c>
      <c r="G450" s="5" t="inlineStr">
        <is>
          <t>TOP 5</t>
        </is>
      </c>
      <c r="H450" s="5" t="inlineStr">
        <is>
          <t>% TOP 1</t>
        </is>
      </c>
      <c r="I450" s="5" t="inlineStr">
        <is>
          <t>% TOP 2</t>
        </is>
      </c>
      <c r="J450" s="5" t="inlineStr">
        <is>
          <t>% TOP 3</t>
        </is>
      </c>
      <c r="K450" s="5" t="inlineStr">
        <is>
          <t>% TOP 4</t>
        </is>
      </c>
      <c r="L450" s="5" t="inlineStr">
        <is>
          <t>% TOP 5</t>
        </is>
      </c>
      <c r="M450" s="5" t="inlineStr">
        <is>
          <t>% ACUM.</t>
        </is>
      </c>
    </row>
    <row r="451">
      <c r="A451" s="35" t="inlineStr">
        <is>
          <t>DATOS GENERALES</t>
        </is>
      </c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</row>
    <row r="452">
      <c r="A452" s="8" t="inlineStr">
        <is>
          <t>Mes</t>
        </is>
      </c>
      <c r="B452" s="9" t="inlineStr">
        <is>
          <t>JULIO</t>
        </is>
      </c>
      <c r="E452" s="8" t="inlineStr">
        <is>
          <t>Año</t>
        </is>
      </c>
      <c r="F452" s="9" t="inlineStr">
        <is>
          <t>2026</t>
        </is>
      </c>
    </row>
    <row r="453">
      <c r="A453" s="8" t="inlineStr">
        <is>
          <t>Fecha de corte</t>
        </is>
      </c>
      <c r="B453" s="10" t="n"/>
      <c r="E453" s="8" t="inlineStr">
        <is>
          <t>Elaboró</t>
        </is>
      </c>
      <c r="F453" s="10" t="n"/>
    </row>
    <row r="454">
      <c r="A454" s="8" t="inlineStr">
        <is>
          <t>Reportado por</t>
        </is>
      </c>
      <c r="B454" s="10" t="n"/>
      <c r="E454" s="8" t="inlineStr">
        <is>
          <t>Cargo</t>
        </is>
      </c>
      <c r="F454" s="10" t="n"/>
    </row>
    <row r="455" ht="6" customHeight="1"/>
    <row r="456">
      <c r="A456" s="35" t="inlineStr">
        <is>
          <t>COBRANZA CORRIENTE</t>
        </is>
      </c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</row>
    <row r="457" ht="20" customHeight="1">
      <c r="A457" s="8" t="inlineStr">
        <is>
          <t>Total</t>
        </is>
      </c>
      <c r="B457" s="11" t="n"/>
    </row>
    <row r="458" ht="18" customHeight="1">
      <c r="A458" s="12" t="inlineStr">
        <is>
          <t>Top 5</t>
        </is>
      </c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</row>
    <row r="459" ht="18" customHeight="1">
      <c r="A459" s="14" t="inlineStr">
        <is>
          <t>1er lugar</t>
        </is>
      </c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</row>
    <row r="460" ht="18" customHeight="1">
      <c r="A460" s="14" t="inlineStr">
        <is>
          <t>2o lugar</t>
        </is>
      </c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</row>
    <row r="461" ht="18" customHeight="1">
      <c r="A461" s="14" t="inlineStr">
        <is>
          <t>3er lugar</t>
        </is>
      </c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</row>
    <row r="462" ht="18" customHeight="1">
      <c r="A462" s="14" t="inlineStr">
        <is>
          <t>4o lugar</t>
        </is>
      </c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</row>
    <row r="463" ht="18" customHeight="1">
      <c r="A463" s="14" t="inlineStr">
        <is>
          <t>5o lugar</t>
        </is>
      </c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</row>
    <row r="464" ht="6" customHeight="1"/>
    <row r="465">
      <c r="A465" s="35" t="inlineStr">
        <is>
          <t>CANCELACIONES</t>
        </is>
      </c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</row>
    <row r="466" ht="20" customHeight="1">
      <c r="A466" s="16" t="inlineStr">
        <is>
          <t>Total</t>
        </is>
      </c>
      <c r="B466" s="17" t="n"/>
    </row>
    <row r="467" ht="18" customHeight="1">
      <c r="A467" s="12" t="inlineStr">
        <is>
          <t>Top 5</t>
        </is>
      </c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</row>
    <row r="468" ht="18" customHeight="1">
      <c r="A468" s="14" t="inlineStr">
        <is>
          <t>1er lugar</t>
        </is>
      </c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</row>
    <row r="469" ht="18" customHeight="1">
      <c r="A469" s="14" t="inlineStr">
        <is>
          <t>2o lugar</t>
        </is>
      </c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</row>
    <row r="470" ht="18" customHeight="1">
      <c r="A470" s="14" t="inlineStr">
        <is>
          <t>3er lugar</t>
        </is>
      </c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</row>
    <row r="471" ht="18" customHeight="1">
      <c r="A471" s="14" t="inlineStr">
        <is>
          <t>4o lugar</t>
        </is>
      </c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</row>
    <row r="472" ht="18" customHeight="1">
      <c r="A472" s="14" t="inlineStr">
        <is>
          <t>5o lugar</t>
        </is>
      </c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</row>
    <row r="473" ht="6" customHeight="1"/>
    <row r="474">
      <c r="A474" s="35" t="inlineStr">
        <is>
          <t>COBRANZA VENCIDA</t>
        </is>
      </c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</row>
    <row r="475" ht="20" customHeight="1">
      <c r="A475" s="8" t="inlineStr">
        <is>
          <t>Total</t>
        </is>
      </c>
      <c r="B475" s="11" t="n"/>
    </row>
    <row r="476" ht="18" customHeight="1">
      <c r="A476" s="12" t="inlineStr">
        <is>
          <t>Top 5</t>
        </is>
      </c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</row>
    <row r="477" ht="18" customHeight="1">
      <c r="A477" s="14" t="inlineStr">
        <is>
          <t>1er lugar</t>
        </is>
      </c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</row>
    <row r="478" ht="18" customHeight="1">
      <c r="A478" s="14" t="inlineStr">
        <is>
          <t>2o lugar</t>
        </is>
      </c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</row>
    <row r="479" ht="18" customHeight="1">
      <c r="A479" s="14" t="inlineStr">
        <is>
          <t>3er lugar</t>
        </is>
      </c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</row>
    <row r="480" ht="18" customHeight="1">
      <c r="A480" s="14" t="inlineStr">
        <is>
          <t>4o lugar</t>
        </is>
      </c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</row>
    <row r="481" ht="18" customHeight="1">
      <c r="A481" s="14" t="inlineStr">
        <is>
          <t>5o lugar</t>
        </is>
      </c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</row>
    <row r="482" ht="6" customHeight="1"/>
    <row r="483">
      <c r="A483" s="35" t="inlineStr">
        <is>
          <t>COBRANZA EFECTIVA</t>
        </is>
      </c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</row>
    <row r="484" ht="20" customHeight="1">
      <c r="A484" s="16" t="inlineStr">
        <is>
          <t>Total</t>
        </is>
      </c>
      <c r="B484" s="17" t="n"/>
    </row>
    <row r="485" ht="18" customHeight="1">
      <c r="A485" s="12" t="inlineStr">
        <is>
          <t>Top 5</t>
        </is>
      </c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</row>
    <row r="486" ht="18" customHeight="1">
      <c r="A486" s="14" t="inlineStr">
        <is>
          <t>1er lugar</t>
        </is>
      </c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</row>
    <row r="487" ht="18" customHeight="1">
      <c r="A487" s="14" t="inlineStr">
        <is>
          <t>2o lugar</t>
        </is>
      </c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</row>
    <row r="488" ht="18" customHeight="1">
      <c r="A488" s="14" t="inlineStr">
        <is>
          <t>3er lugar</t>
        </is>
      </c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</row>
    <row r="489" ht="18" customHeight="1">
      <c r="A489" s="14" t="inlineStr">
        <is>
          <t>4o lugar</t>
        </is>
      </c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</row>
    <row r="490" ht="18" customHeight="1">
      <c r="A490" s="14" t="inlineStr">
        <is>
          <t>5o lugar</t>
        </is>
      </c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</row>
    <row r="491" ht="6" customHeight="1"/>
    <row r="492">
      <c r="A492" s="35" t="inlineStr">
        <is>
          <t>COBRANZA RECUPERADA</t>
        </is>
      </c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</row>
    <row r="493" ht="20" customHeight="1">
      <c r="A493" s="8" t="inlineStr">
        <is>
          <t>Total</t>
        </is>
      </c>
      <c r="B493" s="11" t="n"/>
    </row>
    <row r="494" ht="18" customHeight="1">
      <c r="A494" s="12" t="inlineStr">
        <is>
          <t>Top 5</t>
        </is>
      </c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</row>
    <row r="495" ht="18" customHeight="1">
      <c r="A495" s="14" t="inlineStr">
        <is>
          <t>1er lugar</t>
        </is>
      </c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</row>
    <row r="496" ht="18" customHeight="1">
      <c r="A496" s="14" t="inlineStr">
        <is>
          <t>2o lugar</t>
        </is>
      </c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</row>
    <row r="497" ht="18" customHeight="1">
      <c r="A497" s="14" t="inlineStr">
        <is>
          <t>3er lugar</t>
        </is>
      </c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</row>
    <row r="498" ht="18" customHeight="1">
      <c r="A498" s="14" t="inlineStr">
        <is>
          <t>4o lugar</t>
        </is>
      </c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</row>
    <row r="499" ht="18" customHeight="1">
      <c r="A499" s="14" t="inlineStr">
        <is>
          <t>5o lugar</t>
        </is>
      </c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</row>
    <row r="500" ht="6" customHeight="1"/>
    <row r="501">
      <c r="A501" s="35" t="inlineStr">
        <is>
          <t>COBRANZA TOTAL GENERAL</t>
        </is>
      </c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</row>
    <row r="502" ht="20" customHeight="1">
      <c r="A502" s="16" t="inlineStr">
        <is>
          <t>Total</t>
        </is>
      </c>
      <c r="B502" s="17" t="n"/>
    </row>
    <row r="503" ht="18" customHeight="1">
      <c r="A503" s="12" t="inlineStr">
        <is>
          <t>Top 5</t>
        </is>
      </c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</row>
    <row r="504" ht="18" customHeight="1">
      <c r="A504" s="14" t="inlineStr">
        <is>
          <t>1er lugar</t>
        </is>
      </c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</row>
    <row r="505" ht="18" customHeight="1">
      <c r="A505" s="14" t="inlineStr">
        <is>
          <t>2o lugar</t>
        </is>
      </c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</row>
    <row r="506" ht="18" customHeight="1">
      <c r="A506" s="14" t="inlineStr">
        <is>
          <t>3er lugar</t>
        </is>
      </c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</row>
    <row r="507" ht="18" customHeight="1">
      <c r="A507" s="14" t="inlineStr">
        <is>
          <t>4o lugar</t>
        </is>
      </c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</row>
    <row r="508" ht="18" customHeight="1">
      <c r="A508" s="14" t="inlineStr">
        <is>
          <t>5o lugar</t>
        </is>
      </c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</row>
    <row r="509" ht="6" customHeight="1"/>
    <row r="510">
      <c r="A510" s="35" t="inlineStr">
        <is>
          <t>COBRANZA ADELANTADA F.</t>
        </is>
      </c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</row>
    <row r="511" ht="20" customHeight="1">
      <c r="A511" s="8" t="inlineStr">
        <is>
          <t>Total</t>
        </is>
      </c>
      <c r="B511" s="11" t="n"/>
    </row>
    <row r="512" ht="18" customHeight="1">
      <c r="A512" s="12" t="inlineStr">
        <is>
          <t>Top 5</t>
        </is>
      </c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</row>
    <row r="513" ht="18" customHeight="1">
      <c r="A513" s="14" t="inlineStr">
        <is>
          <t>1er lugar</t>
        </is>
      </c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</row>
    <row r="514" ht="18" customHeight="1">
      <c r="A514" s="14" t="inlineStr">
        <is>
          <t>2o lugar</t>
        </is>
      </c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</row>
    <row r="515" ht="18" customHeight="1">
      <c r="A515" s="14" t="inlineStr">
        <is>
          <t>3er lugar</t>
        </is>
      </c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</row>
    <row r="516" ht="18" customHeight="1">
      <c r="A516" s="14" t="inlineStr">
        <is>
          <t>4o lugar</t>
        </is>
      </c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</row>
    <row r="517" ht="18" customHeight="1">
      <c r="A517" s="14" t="inlineStr">
        <is>
          <t>5o lugar</t>
        </is>
      </c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</row>
    <row r="518" ht="6" customHeight="1"/>
    <row r="519">
      <c r="A519" s="82" t="inlineStr">
        <is>
          <t>PROYECCIÓN JULIO → JULIO</t>
        </is>
      </c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</row>
    <row r="520">
      <c r="A520" s="19" t="inlineStr">
        <is>
          <t>Proyección JULIO</t>
        </is>
      </c>
      <c r="B520" s="20" t="n"/>
    </row>
    <row r="522" ht="14" customHeight="1"/>
    <row r="523" ht="22" customHeight="1">
      <c r="A523" s="4" t="inlineStr">
        <is>
          <t>AGOSTO 2026</t>
        </is>
      </c>
    </row>
    <row r="524" ht="28" customHeight="1">
      <c r="A524" s="5" t="inlineStr">
        <is>
          <t>CONCEPTO</t>
        </is>
      </c>
      <c r="B524" s="5" t="inlineStr">
        <is>
          <t>TOTAL ($)</t>
        </is>
      </c>
      <c r="C524" s="5" t="inlineStr">
        <is>
          <t>TOP 1</t>
        </is>
      </c>
      <c r="D524" s="5" t="inlineStr">
        <is>
          <t>TOP 2</t>
        </is>
      </c>
      <c r="E524" s="5" t="inlineStr">
        <is>
          <t>TOP 3</t>
        </is>
      </c>
      <c r="F524" s="5" t="inlineStr">
        <is>
          <t>TOP 4</t>
        </is>
      </c>
      <c r="G524" s="5" t="inlineStr">
        <is>
          <t>TOP 5</t>
        </is>
      </c>
      <c r="H524" s="5" t="inlineStr">
        <is>
          <t>% TOP 1</t>
        </is>
      </c>
      <c r="I524" s="5" t="inlineStr">
        <is>
          <t>% TOP 2</t>
        </is>
      </c>
      <c r="J524" s="5" t="inlineStr">
        <is>
          <t>% TOP 3</t>
        </is>
      </c>
      <c r="K524" s="5" t="inlineStr">
        <is>
          <t>% TOP 4</t>
        </is>
      </c>
      <c r="L524" s="5" t="inlineStr">
        <is>
          <t>% TOP 5</t>
        </is>
      </c>
      <c r="M524" s="5" t="inlineStr">
        <is>
          <t>% ACUM.</t>
        </is>
      </c>
    </row>
    <row r="525">
      <c r="A525" s="35" t="inlineStr">
        <is>
          <t>DATOS GENERALES</t>
        </is>
      </c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</row>
    <row r="526">
      <c r="A526" s="8" t="inlineStr">
        <is>
          <t>Mes</t>
        </is>
      </c>
      <c r="B526" s="9" t="inlineStr">
        <is>
          <t>AGOSTO</t>
        </is>
      </c>
      <c r="E526" s="8" t="inlineStr">
        <is>
          <t>Año</t>
        </is>
      </c>
      <c r="F526" s="9" t="inlineStr">
        <is>
          <t>2026</t>
        </is>
      </c>
    </row>
    <row r="527">
      <c r="A527" s="8" t="inlineStr">
        <is>
          <t>Fecha de corte</t>
        </is>
      </c>
      <c r="B527" s="10" t="n"/>
      <c r="E527" s="8" t="inlineStr">
        <is>
          <t>Elaboró</t>
        </is>
      </c>
      <c r="F527" s="10" t="n"/>
    </row>
    <row r="528">
      <c r="A528" s="8" t="inlineStr">
        <is>
          <t>Reportado por</t>
        </is>
      </c>
      <c r="B528" s="10" t="n"/>
      <c r="E528" s="8" t="inlineStr">
        <is>
          <t>Cargo</t>
        </is>
      </c>
      <c r="F528" s="10" t="n"/>
    </row>
    <row r="529" ht="6" customHeight="1"/>
    <row r="530">
      <c r="A530" s="35" t="inlineStr">
        <is>
          <t>COBRANZA CORRIENTE</t>
        </is>
      </c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</row>
    <row r="531" ht="20" customHeight="1">
      <c r="A531" s="8" t="inlineStr">
        <is>
          <t>Total</t>
        </is>
      </c>
      <c r="B531" s="11" t="n"/>
    </row>
    <row r="532" ht="18" customHeight="1">
      <c r="A532" s="12" t="inlineStr">
        <is>
          <t>Top 5</t>
        </is>
      </c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</row>
    <row r="533" ht="18" customHeight="1">
      <c r="A533" s="14" t="inlineStr">
        <is>
          <t>1er lugar</t>
        </is>
      </c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</row>
    <row r="534" ht="18" customHeight="1">
      <c r="A534" s="14" t="inlineStr">
        <is>
          <t>2o lugar</t>
        </is>
      </c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</row>
    <row r="535" ht="18" customHeight="1">
      <c r="A535" s="14" t="inlineStr">
        <is>
          <t>3er lugar</t>
        </is>
      </c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</row>
    <row r="536" ht="18" customHeight="1">
      <c r="A536" s="14" t="inlineStr">
        <is>
          <t>4o lugar</t>
        </is>
      </c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</row>
    <row r="537" ht="18" customHeight="1">
      <c r="A537" s="14" t="inlineStr">
        <is>
          <t>5o lugar</t>
        </is>
      </c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</row>
    <row r="538" ht="6" customHeight="1"/>
    <row r="539">
      <c r="A539" s="35" t="inlineStr">
        <is>
          <t>CANCELACIONES</t>
        </is>
      </c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</row>
    <row r="540" ht="20" customHeight="1">
      <c r="A540" s="16" t="inlineStr">
        <is>
          <t>Total</t>
        </is>
      </c>
      <c r="B540" s="17" t="n"/>
    </row>
    <row r="541" ht="18" customHeight="1">
      <c r="A541" s="12" t="inlineStr">
        <is>
          <t>Top 5</t>
        </is>
      </c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</row>
    <row r="542" ht="18" customHeight="1">
      <c r="A542" s="14" t="inlineStr">
        <is>
          <t>1er lugar</t>
        </is>
      </c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</row>
    <row r="543" ht="18" customHeight="1">
      <c r="A543" s="14" t="inlineStr">
        <is>
          <t>2o lugar</t>
        </is>
      </c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</row>
    <row r="544" ht="18" customHeight="1">
      <c r="A544" s="14" t="inlineStr">
        <is>
          <t>3er lugar</t>
        </is>
      </c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</row>
    <row r="545" ht="18" customHeight="1">
      <c r="A545" s="14" t="inlineStr">
        <is>
          <t>4o lugar</t>
        </is>
      </c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</row>
    <row r="546" ht="18" customHeight="1">
      <c r="A546" s="14" t="inlineStr">
        <is>
          <t>5o lugar</t>
        </is>
      </c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</row>
    <row r="547" ht="6" customHeight="1"/>
    <row r="548">
      <c r="A548" s="35" t="inlineStr">
        <is>
          <t>COBRANZA VENCIDA</t>
        </is>
      </c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</row>
    <row r="549" ht="20" customHeight="1">
      <c r="A549" s="8" t="inlineStr">
        <is>
          <t>Total</t>
        </is>
      </c>
      <c r="B549" s="11" t="n"/>
    </row>
    <row r="550" ht="18" customHeight="1">
      <c r="A550" s="12" t="inlineStr">
        <is>
          <t>Top 5</t>
        </is>
      </c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</row>
    <row r="551" ht="18" customHeight="1">
      <c r="A551" s="14" t="inlineStr">
        <is>
          <t>1er lugar</t>
        </is>
      </c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</row>
    <row r="552" ht="18" customHeight="1">
      <c r="A552" s="14" t="inlineStr">
        <is>
          <t>2o lugar</t>
        </is>
      </c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</row>
    <row r="553" ht="18" customHeight="1">
      <c r="A553" s="14" t="inlineStr">
        <is>
          <t>3er lugar</t>
        </is>
      </c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</row>
    <row r="554" ht="18" customHeight="1">
      <c r="A554" s="14" t="inlineStr">
        <is>
          <t>4o lugar</t>
        </is>
      </c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</row>
    <row r="555" ht="18" customHeight="1">
      <c r="A555" s="14" t="inlineStr">
        <is>
          <t>5o lugar</t>
        </is>
      </c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</row>
    <row r="556" ht="6" customHeight="1"/>
    <row r="557">
      <c r="A557" s="35" t="inlineStr">
        <is>
          <t>COBRANZA EFECTIVA</t>
        </is>
      </c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</row>
    <row r="558" ht="20" customHeight="1">
      <c r="A558" s="16" t="inlineStr">
        <is>
          <t>Total</t>
        </is>
      </c>
      <c r="B558" s="17" t="n"/>
    </row>
    <row r="559" ht="18" customHeight="1">
      <c r="A559" s="12" t="inlineStr">
        <is>
          <t>Top 5</t>
        </is>
      </c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</row>
    <row r="560" ht="18" customHeight="1">
      <c r="A560" s="14" t="inlineStr">
        <is>
          <t>1er lugar</t>
        </is>
      </c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</row>
    <row r="561" ht="18" customHeight="1">
      <c r="A561" s="14" t="inlineStr">
        <is>
          <t>2o lugar</t>
        </is>
      </c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</row>
    <row r="562" ht="18" customHeight="1">
      <c r="A562" s="14" t="inlineStr">
        <is>
          <t>3er lugar</t>
        </is>
      </c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</row>
    <row r="563" ht="18" customHeight="1">
      <c r="A563" s="14" t="inlineStr">
        <is>
          <t>4o lugar</t>
        </is>
      </c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</row>
    <row r="564" ht="18" customHeight="1">
      <c r="A564" s="14" t="inlineStr">
        <is>
          <t>5o lugar</t>
        </is>
      </c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</row>
    <row r="565" ht="6" customHeight="1"/>
    <row r="566">
      <c r="A566" s="35" t="inlineStr">
        <is>
          <t>COBRANZA RECUPERADA</t>
        </is>
      </c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</row>
    <row r="567" ht="20" customHeight="1">
      <c r="A567" s="8" t="inlineStr">
        <is>
          <t>Total</t>
        </is>
      </c>
      <c r="B567" s="11" t="n"/>
    </row>
    <row r="568" ht="18" customHeight="1">
      <c r="A568" s="12" t="inlineStr">
        <is>
          <t>Top 5</t>
        </is>
      </c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</row>
    <row r="569" ht="18" customHeight="1">
      <c r="A569" s="14" t="inlineStr">
        <is>
          <t>1er lugar</t>
        </is>
      </c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</row>
    <row r="570" ht="18" customHeight="1">
      <c r="A570" s="14" t="inlineStr">
        <is>
          <t>2o lugar</t>
        </is>
      </c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</row>
    <row r="571" ht="18" customHeight="1">
      <c r="A571" s="14" t="inlineStr">
        <is>
          <t>3er lugar</t>
        </is>
      </c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</row>
    <row r="572" ht="18" customHeight="1">
      <c r="A572" s="14" t="inlineStr">
        <is>
          <t>4o lugar</t>
        </is>
      </c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</row>
    <row r="573" ht="18" customHeight="1">
      <c r="A573" s="14" t="inlineStr">
        <is>
          <t>5o lugar</t>
        </is>
      </c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</row>
    <row r="574" ht="6" customHeight="1"/>
    <row r="575">
      <c r="A575" s="35" t="inlineStr">
        <is>
          <t>COBRANZA TOTAL GENERAL</t>
        </is>
      </c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</row>
    <row r="576" ht="20" customHeight="1">
      <c r="A576" s="16" t="inlineStr">
        <is>
          <t>Total</t>
        </is>
      </c>
      <c r="B576" s="17" t="n"/>
    </row>
    <row r="577" ht="18" customHeight="1">
      <c r="A577" s="12" t="inlineStr">
        <is>
          <t>Top 5</t>
        </is>
      </c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</row>
    <row r="578" ht="18" customHeight="1">
      <c r="A578" s="14" t="inlineStr">
        <is>
          <t>1er lugar</t>
        </is>
      </c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</row>
    <row r="579" ht="18" customHeight="1">
      <c r="A579" s="14" t="inlineStr">
        <is>
          <t>2o lugar</t>
        </is>
      </c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</row>
    <row r="580" ht="18" customHeight="1">
      <c r="A580" s="14" t="inlineStr">
        <is>
          <t>3er lugar</t>
        </is>
      </c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</row>
    <row r="581" ht="18" customHeight="1">
      <c r="A581" s="14" t="inlineStr">
        <is>
          <t>4o lugar</t>
        </is>
      </c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</row>
    <row r="582" ht="18" customHeight="1">
      <c r="A582" s="14" t="inlineStr">
        <is>
          <t>5o lugar</t>
        </is>
      </c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</row>
    <row r="583" ht="6" customHeight="1"/>
    <row r="584">
      <c r="A584" s="35" t="inlineStr">
        <is>
          <t>COBRANZA ADELANTADA F.</t>
        </is>
      </c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</row>
    <row r="585" ht="20" customHeight="1">
      <c r="A585" s="8" t="inlineStr">
        <is>
          <t>Total</t>
        </is>
      </c>
      <c r="B585" s="11" t="n"/>
    </row>
    <row r="586" ht="18" customHeight="1">
      <c r="A586" s="12" t="inlineStr">
        <is>
          <t>Top 5</t>
        </is>
      </c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</row>
    <row r="587" ht="18" customHeight="1">
      <c r="A587" s="14" t="inlineStr">
        <is>
          <t>1er lugar</t>
        </is>
      </c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</row>
    <row r="588" ht="18" customHeight="1">
      <c r="A588" s="14" t="inlineStr">
        <is>
          <t>2o lugar</t>
        </is>
      </c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</row>
    <row r="589" ht="18" customHeight="1">
      <c r="A589" s="14" t="inlineStr">
        <is>
          <t>3er lugar</t>
        </is>
      </c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</row>
    <row r="590" ht="18" customHeight="1">
      <c r="A590" s="14" t="inlineStr">
        <is>
          <t>4o lugar</t>
        </is>
      </c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</row>
    <row r="591" ht="18" customHeight="1">
      <c r="A591" s="14" t="inlineStr">
        <is>
          <t>5o lugar</t>
        </is>
      </c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</row>
    <row r="592" ht="6" customHeight="1"/>
    <row r="593">
      <c r="A593" s="82" t="inlineStr">
        <is>
          <t>PROYECCIÓN AGOSTO → AGOSTO</t>
        </is>
      </c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</row>
    <row r="594">
      <c r="A594" s="19" t="inlineStr">
        <is>
          <t>Proyección AGOSTO</t>
        </is>
      </c>
      <c r="B594" s="20" t="n"/>
    </row>
    <row r="596" ht="14" customHeight="1"/>
    <row r="597" ht="22" customHeight="1">
      <c r="A597" s="4" t="inlineStr">
        <is>
          <t>SEPTIEMBRE 2026</t>
        </is>
      </c>
    </row>
    <row r="598" ht="28" customHeight="1">
      <c r="A598" s="5" t="inlineStr">
        <is>
          <t>CONCEPTO</t>
        </is>
      </c>
      <c r="B598" s="5" t="inlineStr">
        <is>
          <t>TOTAL ($)</t>
        </is>
      </c>
      <c r="C598" s="5" t="inlineStr">
        <is>
          <t>TOP 1</t>
        </is>
      </c>
      <c r="D598" s="5" t="inlineStr">
        <is>
          <t>TOP 2</t>
        </is>
      </c>
      <c r="E598" s="5" t="inlineStr">
        <is>
          <t>TOP 3</t>
        </is>
      </c>
      <c r="F598" s="5" t="inlineStr">
        <is>
          <t>TOP 4</t>
        </is>
      </c>
      <c r="G598" s="5" t="inlineStr">
        <is>
          <t>TOP 5</t>
        </is>
      </c>
      <c r="H598" s="5" t="inlineStr">
        <is>
          <t>% TOP 1</t>
        </is>
      </c>
      <c r="I598" s="5" t="inlineStr">
        <is>
          <t>% TOP 2</t>
        </is>
      </c>
      <c r="J598" s="5" t="inlineStr">
        <is>
          <t>% TOP 3</t>
        </is>
      </c>
      <c r="K598" s="5" t="inlineStr">
        <is>
          <t>% TOP 4</t>
        </is>
      </c>
      <c r="L598" s="5" t="inlineStr">
        <is>
          <t>% TOP 5</t>
        </is>
      </c>
      <c r="M598" s="5" t="inlineStr">
        <is>
          <t>% ACUM.</t>
        </is>
      </c>
    </row>
    <row r="599">
      <c r="A599" s="35" t="inlineStr">
        <is>
          <t>DATOS GENERALES</t>
        </is>
      </c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</row>
    <row r="600">
      <c r="A600" s="8" t="inlineStr">
        <is>
          <t>Mes</t>
        </is>
      </c>
      <c r="B600" s="9" t="inlineStr">
        <is>
          <t>SEPTIEMBRE</t>
        </is>
      </c>
      <c r="E600" s="8" t="inlineStr">
        <is>
          <t>Año</t>
        </is>
      </c>
      <c r="F600" s="9" t="inlineStr">
        <is>
          <t>2026</t>
        </is>
      </c>
    </row>
    <row r="601">
      <c r="A601" s="8" t="inlineStr">
        <is>
          <t>Fecha de corte</t>
        </is>
      </c>
      <c r="B601" s="10" t="n"/>
      <c r="E601" s="8" t="inlineStr">
        <is>
          <t>Elaboró</t>
        </is>
      </c>
      <c r="F601" s="10" t="n"/>
    </row>
    <row r="602">
      <c r="A602" s="8" t="inlineStr">
        <is>
          <t>Reportado por</t>
        </is>
      </c>
      <c r="B602" s="10" t="n"/>
      <c r="E602" s="8" t="inlineStr">
        <is>
          <t>Cargo</t>
        </is>
      </c>
      <c r="F602" s="10" t="n"/>
    </row>
    <row r="603" ht="6" customHeight="1"/>
    <row r="604">
      <c r="A604" s="35" t="inlineStr">
        <is>
          <t>COBRANZA CORRIENTE</t>
        </is>
      </c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</row>
    <row r="605" ht="20" customHeight="1">
      <c r="A605" s="8" t="inlineStr">
        <is>
          <t>Total</t>
        </is>
      </c>
      <c r="B605" s="11" t="n"/>
    </row>
    <row r="606" ht="18" customHeight="1">
      <c r="A606" s="12" t="inlineStr">
        <is>
          <t>Top 5</t>
        </is>
      </c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</row>
    <row r="607" ht="18" customHeight="1">
      <c r="A607" s="14" t="inlineStr">
        <is>
          <t>1er lugar</t>
        </is>
      </c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</row>
    <row r="608" ht="18" customHeight="1">
      <c r="A608" s="14" t="inlineStr">
        <is>
          <t>2o lugar</t>
        </is>
      </c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</row>
    <row r="609" ht="18" customHeight="1">
      <c r="A609" s="14" t="inlineStr">
        <is>
          <t>3er lugar</t>
        </is>
      </c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</row>
    <row r="610" ht="18" customHeight="1">
      <c r="A610" s="14" t="inlineStr">
        <is>
          <t>4o lugar</t>
        </is>
      </c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</row>
    <row r="611" ht="18" customHeight="1">
      <c r="A611" s="14" t="inlineStr">
        <is>
          <t>5o lugar</t>
        </is>
      </c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</row>
    <row r="612" ht="6" customHeight="1"/>
    <row r="613">
      <c r="A613" s="35" t="inlineStr">
        <is>
          <t>CANCELACIONES</t>
        </is>
      </c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</row>
    <row r="614" ht="20" customHeight="1">
      <c r="A614" s="16" t="inlineStr">
        <is>
          <t>Total</t>
        </is>
      </c>
      <c r="B614" s="17" t="n"/>
    </row>
    <row r="615" ht="18" customHeight="1">
      <c r="A615" s="12" t="inlineStr">
        <is>
          <t>Top 5</t>
        </is>
      </c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</row>
    <row r="616" ht="18" customHeight="1">
      <c r="A616" s="14" t="inlineStr">
        <is>
          <t>1er lugar</t>
        </is>
      </c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</row>
    <row r="617" ht="18" customHeight="1">
      <c r="A617" s="14" t="inlineStr">
        <is>
          <t>2o lugar</t>
        </is>
      </c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</row>
    <row r="618" ht="18" customHeight="1">
      <c r="A618" s="14" t="inlineStr">
        <is>
          <t>3er lugar</t>
        </is>
      </c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</row>
    <row r="619" ht="18" customHeight="1">
      <c r="A619" s="14" t="inlineStr">
        <is>
          <t>4o lugar</t>
        </is>
      </c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</row>
    <row r="620" ht="18" customHeight="1">
      <c r="A620" s="14" t="inlineStr">
        <is>
          <t>5o lugar</t>
        </is>
      </c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</row>
    <row r="621" ht="6" customHeight="1"/>
    <row r="622">
      <c r="A622" s="35" t="inlineStr">
        <is>
          <t>COBRANZA VENCIDA</t>
        </is>
      </c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</row>
    <row r="623" ht="20" customHeight="1">
      <c r="A623" s="8" t="inlineStr">
        <is>
          <t>Total</t>
        </is>
      </c>
      <c r="B623" s="11" t="n"/>
    </row>
    <row r="624" ht="18" customHeight="1">
      <c r="A624" s="12" t="inlineStr">
        <is>
          <t>Top 5</t>
        </is>
      </c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</row>
    <row r="625" ht="18" customHeight="1">
      <c r="A625" s="14" t="inlineStr">
        <is>
          <t>1er lugar</t>
        </is>
      </c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</row>
    <row r="626" ht="18" customHeight="1">
      <c r="A626" s="14" t="inlineStr">
        <is>
          <t>2o lugar</t>
        </is>
      </c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</row>
    <row r="627" ht="18" customHeight="1">
      <c r="A627" s="14" t="inlineStr">
        <is>
          <t>3er lugar</t>
        </is>
      </c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</row>
    <row r="628" ht="18" customHeight="1">
      <c r="A628" s="14" t="inlineStr">
        <is>
          <t>4o lugar</t>
        </is>
      </c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</row>
    <row r="629" ht="18" customHeight="1">
      <c r="A629" s="14" t="inlineStr">
        <is>
          <t>5o lugar</t>
        </is>
      </c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</row>
    <row r="630" ht="6" customHeight="1"/>
    <row r="631">
      <c r="A631" s="35" t="inlineStr">
        <is>
          <t>COBRANZA EFECTIVA</t>
        </is>
      </c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</row>
    <row r="632" ht="20" customHeight="1">
      <c r="A632" s="16" t="inlineStr">
        <is>
          <t>Total</t>
        </is>
      </c>
      <c r="B632" s="17" t="n"/>
    </row>
    <row r="633" ht="18" customHeight="1">
      <c r="A633" s="12" t="inlineStr">
        <is>
          <t>Top 5</t>
        </is>
      </c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</row>
    <row r="634" ht="18" customHeight="1">
      <c r="A634" s="14" t="inlineStr">
        <is>
          <t>1er lugar</t>
        </is>
      </c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</row>
    <row r="635" ht="18" customHeight="1">
      <c r="A635" s="14" t="inlineStr">
        <is>
          <t>2o lugar</t>
        </is>
      </c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</row>
    <row r="636" ht="18" customHeight="1">
      <c r="A636" s="14" t="inlineStr">
        <is>
          <t>3er lugar</t>
        </is>
      </c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</row>
    <row r="637" ht="18" customHeight="1">
      <c r="A637" s="14" t="inlineStr">
        <is>
          <t>4o lugar</t>
        </is>
      </c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</row>
    <row r="638" ht="18" customHeight="1">
      <c r="A638" s="14" t="inlineStr">
        <is>
          <t>5o lugar</t>
        </is>
      </c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</row>
    <row r="639" ht="6" customHeight="1"/>
    <row r="640">
      <c r="A640" s="35" t="inlineStr">
        <is>
          <t>COBRANZA RECUPERADA</t>
        </is>
      </c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</row>
    <row r="641" ht="20" customHeight="1">
      <c r="A641" s="8" t="inlineStr">
        <is>
          <t>Total</t>
        </is>
      </c>
      <c r="B641" s="11" t="n"/>
    </row>
    <row r="642" ht="18" customHeight="1">
      <c r="A642" s="12" t="inlineStr">
        <is>
          <t>Top 5</t>
        </is>
      </c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</row>
    <row r="643" ht="18" customHeight="1">
      <c r="A643" s="14" t="inlineStr">
        <is>
          <t>1er lugar</t>
        </is>
      </c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</row>
    <row r="644" ht="18" customHeight="1">
      <c r="A644" s="14" t="inlineStr">
        <is>
          <t>2o lugar</t>
        </is>
      </c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</row>
    <row r="645" ht="18" customHeight="1">
      <c r="A645" s="14" t="inlineStr">
        <is>
          <t>3er lugar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</row>
    <row r="646" ht="18" customHeight="1">
      <c r="A646" s="14" t="inlineStr">
        <is>
          <t>4o lugar</t>
        </is>
      </c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</row>
    <row r="647" ht="18" customHeight="1">
      <c r="A647" s="14" t="inlineStr">
        <is>
          <t>5o lugar</t>
        </is>
      </c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</row>
    <row r="648" ht="6" customHeight="1"/>
    <row r="649">
      <c r="A649" s="35" t="inlineStr">
        <is>
          <t>COBRANZA TOTAL GENERAL</t>
        </is>
      </c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</row>
    <row r="650" ht="20" customHeight="1">
      <c r="A650" s="16" t="inlineStr">
        <is>
          <t>Total</t>
        </is>
      </c>
      <c r="B650" s="17" t="n"/>
    </row>
    <row r="651" ht="18" customHeight="1">
      <c r="A651" s="12" t="inlineStr">
        <is>
          <t>Top 5</t>
        </is>
      </c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</row>
    <row r="652" ht="18" customHeight="1">
      <c r="A652" s="14" t="inlineStr">
        <is>
          <t>1er lugar</t>
        </is>
      </c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</row>
    <row r="653" ht="18" customHeight="1">
      <c r="A653" s="14" t="inlineStr">
        <is>
          <t>2o lugar</t>
        </is>
      </c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</row>
    <row r="654" ht="18" customHeight="1">
      <c r="A654" s="14" t="inlineStr">
        <is>
          <t>3er lugar</t>
        </is>
      </c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 ht="18" customHeight="1">
      <c r="A655" s="14" t="inlineStr">
        <is>
          <t>4o lugar</t>
        </is>
      </c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 ht="18" customHeight="1">
      <c r="A656" s="14" t="inlineStr">
        <is>
          <t>5o lugar</t>
        </is>
      </c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 ht="6" customHeight="1"/>
    <row r="658">
      <c r="A658" s="35" t="inlineStr">
        <is>
          <t>COBRANZA ADELANTADA F.</t>
        </is>
      </c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</row>
    <row r="659" ht="20" customHeight="1">
      <c r="A659" s="8" t="inlineStr">
        <is>
          <t>Total</t>
        </is>
      </c>
      <c r="B659" s="11" t="n"/>
    </row>
    <row r="660" ht="18" customHeight="1">
      <c r="A660" s="12" t="inlineStr">
        <is>
          <t>Top 5</t>
        </is>
      </c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</row>
    <row r="661" ht="18" customHeight="1">
      <c r="A661" s="14" t="inlineStr">
        <is>
          <t>1er lugar</t>
        </is>
      </c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 ht="18" customHeight="1">
      <c r="A662" s="14" t="inlineStr">
        <is>
          <t>2o lugar</t>
        </is>
      </c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 ht="18" customHeight="1">
      <c r="A663" s="14" t="inlineStr">
        <is>
          <t>3er lugar</t>
        </is>
      </c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 ht="18" customHeight="1">
      <c r="A664" s="14" t="inlineStr">
        <is>
          <t>4o lugar</t>
        </is>
      </c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 ht="18" customHeight="1">
      <c r="A665" s="14" t="inlineStr">
        <is>
          <t>5o lugar</t>
        </is>
      </c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 ht="6" customHeight="1"/>
    <row r="667">
      <c r="A667" s="82" t="inlineStr">
        <is>
          <t>PROYECCIÓN SEPTIEMBRE → SEPTIEMBRE</t>
        </is>
      </c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</row>
    <row r="668">
      <c r="A668" s="19" t="inlineStr">
        <is>
          <t>Proyección SEPTIEMBRE</t>
        </is>
      </c>
      <c r="B668" s="20" t="n"/>
    </row>
    <row r="670" ht="14" customHeight="1"/>
    <row r="671" ht="22" customHeight="1">
      <c r="A671" s="4" t="inlineStr">
        <is>
          <t>OCTUBRE 2026</t>
        </is>
      </c>
    </row>
    <row r="672" ht="28" customHeight="1">
      <c r="A672" s="5" t="inlineStr">
        <is>
          <t>CONCEPTO</t>
        </is>
      </c>
      <c r="B672" s="5" t="inlineStr">
        <is>
          <t>TOTAL ($)</t>
        </is>
      </c>
      <c r="C672" s="5" t="inlineStr">
        <is>
          <t>TOP 1</t>
        </is>
      </c>
      <c r="D672" s="5" t="inlineStr">
        <is>
          <t>TOP 2</t>
        </is>
      </c>
      <c r="E672" s="5" t="inlineStr">
        <is>
          <t>TOP 3</t>
        </is>
      </c>
      <c r="F672" s="5" t="inlineStr">
        <is>
          <t>TOP 4</t>
        </is>
      </c>
      <c r="G672" s="5" t="inlineStr">
        <is>
          <t>TOP 5</t>
        </is>
      </c>
      <c r="H672" s="5" t="inlineStr">
        <is>
          <t>% TOP 1</t>
        </is>
      </c>
      <c r="I672" s="5" t="inlineStr">
        <is>
          <t>% TOP 2</t>
        </is>
      </c>
      <c r="J672" s="5" t="inlineStr">
        <is>
          <t>% TOP 3</t>
        </is>
      </c>
      <c r="K672" s="5" t="inlineStr">
        <is>
          <t>% TOP 4</t>
        </is>
      </c>
      <c r="L672" s="5" t="inlineStr">
        <is>
          <t>% TOP 5</t>
        </is>
      </c>
      <c r="M672" s="5" t="inlineStr">
        <is>
          <t>% ACUM.</t>
        </is>
      </c>
    </row>
    <row r="673">
      <c r="A673" s="35" t="inlineStr">
        <is>
          <t>DATOS GENERALES</t>
        </is>
      </c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</row>
    <row r="674">
      <c r="A674" s="8" t="inlineStr">
        <is>
          <t>Mes</t>
        </is>
      </c>
      <c r="B674" s="9" t="inlineStr">
        <is>
          <t>OCTUBRE</t>
        </is>
      </c>
      <c r="E674" s="8" t="inlineStr">
        <is>
          <t>Año</t>
        </is>
      </c>
      <c r="F674" s="9" t="inlineStr">
        <is>
          <t>2026</t>
        </is>
      </c>
    </row>
    <row r="675">
      <c r="A675" s="8" t="inlineStr">
        <is>
          <t>Fecha de corte</t>
        </is>
      </c>
      <c r="B675" s="10" t="n"/>
      <c r="E675" s="8" t="inlineStr">
        <is>
          <t>Elaboró</t>
        </is>
      </c>
      <c r="F675" s="10" t="n"/>
    </row>
    <row r="676">
      <c r="A676" s="8" t="inlineStr">
        <is>
          <t>Reportado por</t>
        </is>
      </c>
      <c r="B676" s="10" t="n"/>
      <c r="E676" s="8" t="inlineStr">
        <is>
          <t>Cargo</t>
        </is>
      </c>
      <c r="F676" s="10" t="n"/>
    </row>
    <row r="677" ht="6" customHeight="1"/>
    <row r="678">
      <c r="A678" s="35" t="inlineStr">
        <is>
          <t>COBRANZA CORRIENTE</t>
        </is>
      </c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</row>
    <row r="679" ht="20" customHeight="1">
      <c r="A679" s="8" t="inlineStr">
        <is>
          <t>Total</t>
        </is>
      </c>
      <c r="B679" s="11" t="n"/>
    </row>
    <row r="680" ht="18" customHeight="1">
      <c r="A680" s="12" t="inlineStr">
        <is>
          <t>Top 5</t>
        </is>
      </c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</row>
    <row r="681" ht="18" customHeight="1">
      <c r="A681" s="14" t="inlineStr">
        <is>
          <t>1er lugar</t>
        </is>
      </c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 ht="18" customHeight="1">
      <c r="A682" s="14" t="inlineStr">
        <is>
          <t>2o lugar</t>
        </is>
      </c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 ht="18" customHeight="1">
      <c r="A683" s="14" t="inlineStr">
        <is>
          <t>3er lugar</t>
        </is>
      </c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18" customHeight="1">
      <c r="A684" s="14" t="inlineStr">
        <is>
          <t>4o lugar</t>
        </is>
      </c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</row>
    <row r="685" ht="18" customHeight="1">
      <c r="A685" s="14" t="inlineStr">
        <is>
          <t>5o lugar</t>
        </is>
      </c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</row>
    <row r="686" ht="6" customHeight="1"/>
    <row r="687">
      <c r="A687" s="35" t="inlineStr">
        <is>
          <t>CANCELACIONES</t>
        </is>
      </c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</row>
    <row r="688" ht="20" customHeight="1">
      <c r="A688" s="16" t="inlineStr">
        <is>
          <t>Total</t>
        </is>
      </c>
      <c r="B688" s="17" t="n"/>
    </row>
    <row r="689" ht="18" customHeight="1">
      <c r="A689" s="12" t="inlineStr">
        <is>
          <t>Top 5</t>
        </is>
      </c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</row>
    <row r="690" ht="18" customHeight="1">
      <c r="A690" s="14" t="inlineStr">
        <is>
          <t>1er lugar</t>
        </is>
      </c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</row>
    <row r="691" ht="18" customHeight="1">
      <c r="A691" s="14" t="inlineStr">
        <is>
          <t>2o lugar</t>
        </is>
      </c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</row>
    <row r="692" ht="18" customHeight="1">
      <c r="A692" s="14" t="inlineStr">
        <is>
          <t>3er lugar</t>
        </is>
      </c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</row>
    <row r="693" ht="18" customHeight="1">
      <c r="A693" s="14" t="inlineStr">
        <is>
          <t>4o lugar</t>
        </is>
      </c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</row>
    <row r="694" ht="18" customHeight="1">
      <c r="A694" s="14" t="inlineStr">
        <is>
          <t>5o lugar</t>
        </is>
      </c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</row>
    <row r="695" ht="6" customHeight="1"/>
    <row r="696">
      <c r="A696" s="35" t="inlineStr">
        <is>
          <t>COBRANZA VENCIDA</t>
        </is>
      </c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</row>
    <row r="697" ht="20" customHeight="1">
      <c r="A697" s="8" t="inlineStr">
        <is>
          <t>Total</t>
        </is>
      </c>
      <c r="B697" s="11" t="n"/>
    </row>
    <row r="698" ht="18" customHeight="1">
      <c r="A698" s="12" t="inlineStr">
        <is>
          <t>Top 5</t>
        </is>
      </c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</row>
    <row r="699" ht="18" customHeight="1">
      <c r="A699" s="14" t="inlineStr">
        <is>
          <t>1er lugar</t>
        </is>
      </c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</row>
    <row r="700" ht="18" customHeight="1">
      <c r="A700" s="14" t="inlineStr">
        <is>
          <t>2o lugar</t>
        </is>
      </c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</row>
    <row r="701" ht="18" customHeight="1">
      <c r="A701" s="14" t="inlineStr">
        <is>
          <t>3er lugar</t>
        </is>
      </c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</row>
    <row r="702" ht="18" customHeight="1">
      <c r="A702" s="14" t="inlineStr">
        <is>
          <t>4o lugar</t>
        </is>
      </c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</row>
    <row r="703" ht="18" customHeight="1">
      <c r="A703" s="14" t="inlineStr">
        <is>
          <t>5o lugar</t>
        </is>
      </c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</row>
    <row r="704" ht="6" customHeight="1"/>
    <row r="705">
      <c r="A705" s="35" t="inlineStr">
        <is>
          <t>COBRANZA EFECTIVA</t>
        </is>
      </c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</row>
    <row r="706" ht="20" customHeight="1">
      <c r="A706" s="16" t="inlineStr">
        <is>
          <t>Total</t>
        </is>
      </c>
      <c r="B706" s="17" t="n"/>
    </row>
    <row r="707" ht="18" customHeight="1">
      <c r="A707" s="12" t="inlineStr">
        <is>
          <t>Top 5</t>
        </is>
      </c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</row>
    <row r="708" ht="18" customHeight="1">
      <c r="A708" s="14" t="inlineStr">
        <is>
          <t>1er lugar</t>
        </is>
      </c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</row>
    <row r="709" ht="18" customHeight="1">
      <c r="A709" s="14" t="inlineStr">
        <is>
          <t>2o lugar</t>
        </is>
      </c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</row>
    <row r="710" ht="18" customHeight="1">
      <c r="A710" s="14" t="inlineStr">
        <is>
          <t>3er lugar</t>
        </is>
      </c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</row>
    <row r="711" ht="18" customHeight="1">
      <c r="A711" s="14" t="inlineStr">
        <is>
          <t>4o lugar</t>
        </is>
      </c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</row>
    <row r="712" ht="18" customHeight="1">
      <c r="A712" s="14" t="inlineStr">
        <is>
          <t>5o lugar</t>
        </is>
      </c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</row>
    <row r="713" ht="6" customHeight="1"/>
    <row r="714">
      <c r="A714" s="35" t="inlineStr">
        <is>
          <t>COBRANZA RECUPERADA</t>
        </is>
      </c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</row>
    <row r="715" ht="20" customHeight="1">
      <c r="A715" s="8" t="inlineStr">
        <is>
          <t>Total</t>
        </is>
      </c>
      <c r="B715" s="11" t="n"/>
    </row>
    <row r="716" ht="18" customHeight="1">
      <c r="A716" s="12" t="inlineStr">
        <is>
          <t>Top 5</t>
        </is>
      </c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</row>
    <row r="717" ht="18" customHeight="1">
      <c r="A717" s="14" t="inlineStr">
        <is>
          <t>1er lugar</t>
        </is>
      </c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</row>
    <row r="718" ht="18" customHeight="1">
      <c r="A718" s="14" t="inlineStr">
        <is>
          <t>2o lugar</t>
        </is>
      </c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</row>
    <row r="719" ht="18" customHeight="1">
      <c r="A719" s="14" t="inlineStr">
        <is>
          <t>3er lugar</t>
        </is>
      </c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</row>
    <row r="720" ht="18" customHeight="1">
      <c r="A720" s="14" t="inlineStr">
        <is>
          <t>4o lugar</t>
        </is>
      </c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</row>
    <row r="721" ht="18" customHeight="1">
      <c r="A721" s="14" t="inlineStr">
        <is>
          <t>5o lugar</t>
        </is>
      </c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</row>
    <row r="722" ht="6" customHeight="1"/>
    <row r="723">
      <c r="A723" s="35" t="inlineStr">
        <is>
          <t>COBRANZA TOTAL GENERAL</t>
        </is>
      </c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</row>
    <row r="724" ht="20" customHeight="1">
      <c r="A724" s="16" t="inlineStr">
        <is>
          <t>Total</t>
        </is>
      </c>
      <c r="B724" s="17" t="n"/>
    </row>
    <row r="725" ht="18" customHeight="1">
      <c r="A725" s="12" t="inlineStr">
        <is>
          <t>Top 5</t>
        </is>
      </c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</row>
    <row r="726" ht="18" customHeight="1">
      <c r="A726" s="14" t="inlineStr">
        <is>
          <t>1er lugar</t>
        </is>
      </c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</row>
    <row r="727" ht="18" customHeight="1">
      <c r="A727" s="14" t="inlineStr">
        <is>
          <t>2o lugar</t>
        </is>
      </c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</row>
    <row r="728" ht="18" customHeight="1">
      <c r="A728" s="14" t="inlineStr">
        <is>
          <t>3er lugar</t>
        </is>
      </c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</row>
    <row r="729" ht="18" customHeight="1">
      <c r="A729" s="14" t="inlineStr">
        <is>
          <t>4o lugar</t>
        </is>
      </c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</row>
    <row r="730" ht="18" customHeight="1">
      <c r="A730" s="14" t="inlineStr">
        <is>
          <t>5o lugar</t>
        </is>
      </c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</row>
    <row r="731" ht="6" customHeight="1"/>
    <row r="732">
      <c r="A732" s="35" t="inlineStr">
        <is>
          <t>COBRANZA ADELANTADA F.</t>
        </is>
      </c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</row>
    <row r="733" ht="20" customHeight="1">
      <c r="A733" s="8" t="inlineStr">
        <is>
          <t>Total</t>
        </is>
      </c>
      <c r="B733" s="11" t="n"/>
    </row>
    <row r="734" ht="18" customHeight="1">
      <c r="A734" s="12" t="inlineStr">
        <is>
          <t>Top 5</t>
        </is>
      </c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</row>
    <row r="735" ht="18" customHeight="1">
      <c r="A735" s="14" t="inlineStr">
        <is>
          <t>1er lugar</t>
        </is>
      </c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</row>
    <row r="736" ht="18" customHeight="1">
      <c r="A736" s="14" t="inlineStr">
        <is>
          <t>2o lugar</t>
        </is>
      </c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</row>
    <row r="737" ht="18" customHeight="1">
      <c r="A737" s="14" t="inlineStr">
        <is>
          <t>3er lugar</t>
        </is>
      </c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</row>
    <row r="738" ht="18" customHeight="1">
      <c r="A738" s="14" t="inlineStr">
        <is>
          <t>4o lugar</t>
        </is>
      </c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</row>
    <row r="739" ht="18" customHeight="1">
      <c r="A739" s="14" t="inlineStr">
        <is>
          <t>5o lugar</t>
        </is>
      </c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</row>
    <row r="740" ht="6" customHeight="1"/>
    <row r="741">
      <c r="A741" s="82" t="inlineStr">
        <is>
          <t>PROYECCIÓN OCTUBRE → OCTUBRE</t>
        </is>
      </c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</row>
    <row r="742">
      <c r="A742" s="19" t="inlineStr">
        <is>
          <t>Proyección OCTUBRE</t>
        </is>
      </c>
      <c r="B742" s="20" t="n"/>
    </row>
    <row r="744" ht="14" customHeight="1"/>
    <row r="745" ht="22" customHeight="1">
      <c r="A745" s="4" t="inlineStr">
        <is>
          <t>NOVIEMBRE 2026</t>
        </is>
      </c>
    </row>
    <row r="746" ht="28" customHeight="1">
      <c r="A746" s="5" t="inlineStr">
        <is>
          <t>CONCEPTO</t>
        </is>
      </c>
      <c r="B746" s="5" t="inlineStr">
        <is>
          <t>TOTAL ($)</t>
        </is>
      </c>
      <c r="C746" s="5" t="inlineStr">
        <is>
          <t>TOP 1</t>
        </is>
      </c>
      <c r="D746" s="5" t="inlineStr">
        <is>
          <t>TOP 2</t>
        </is>
      </c>
      <c r="E746" s="5" t="inlineStr">
        <is>
          <t>TOP 3</t>
        </is>
      </c>
      <c r="F746" s="5" t="inlineStr">
        <is>
          <t>TOP 4</t>
        </is>
      </c>
      <c r="G746" s="5" t="inlineStr">
        <is>
          <t>TOP 5</t>
        </is>
      </c>
      <c r="H746" s="5" t="inlineStr">
        <is>
          <t>% TOP 1</t>
        </is>
      </c>
      <c r="I746" s="5" t="inlineStr">
        <is>
          <t>% TOP 2</t>
        </is>
      </c>
      <c r="J746" s="5" t="inlineStr">
        <is>
          <t>% TOP 3</t>
        </is>
      </c>
      <c r="K746" s="5" t="inlineStr">
        <is>
          <t>% TOP 4</t>
        </is>
      </c>
      <c r="L746" s="5" t="inlineStr">
        <is>
          <t>% TOP 5</t>
        </is>
      </c>
      <c r="M746" s="5" t="inlineStr">
        <is>
          <t>% ACUM.</t>
        </is>
      </c>
    </row>
    <row r="747">
      <c r="A747" s="35" t="inlineStr">
        <is>
          <t>DATOS GENERALES</t>
        </is>
      </c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</row>
    <row r="748">
      <c r="A748" s="8" t="inlineStr">
        <is>
          <t>Mes</t>
        </is>
      </c>
      <c r="B748" s="9" t="inlineStr">
        <is>
          <t>NOVIEMBRE</t>
        </is>
      </c>
      <c r="E748" s="8" t="inlineStr">
        <is>
          <t>Año</t>
        </is>
      </c>
      <c r="F748" s="9" t="inlineStr">
        <is>
          <t>2026</t>
        </is>
      </c>
    </row>
    <row r="749">
      <c r="A749" s="8" t="inlineStr">
        <is>
          <t>Fecha de corte</t>
        </is>
      </c>
      <c r="B749" s="10" t="n"/>
      <c r="E749" s="8" t="inlineStr">
        <is>
          <t>Elaboró</t>
        </is>
      </c>
      <c r="F749" s="10" t="n"/>
    </row>
    <row r="750">
      <c r="A750" s="8" t="inlineStr">
        <is>
          <t>Reportado por</t>
        </is>
      </c>
      <c r="B750" s="10" t="n"/>
      <c r="E750" s="8" t="inlineStr">
        <is>
          <t>Cargo</t>
        </is>
      </c>
      <c r="F750" s="10" t="n"/>
    </row>
    <row r="751" ht="6" customHeight="1"/>
    <row r="752">
      <c r="A752" s="35" t="inlineStr">
        <is>
          <t>COBRANZA CORRIENTE</t>
        </is>
      </c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</row>
    <row r="753" ht="20" customHeight="1">
      <c r="A753" s="8" t="inlineStr">
        <is>
          <t>Total</t>
        </is>
      </c>
      <c r="B753" s="11" t="n"/>
    </row>
    <row r="754" ht="18" customHeight="1">
      <c r="A754" s="12" t="inlineStr">
        <is>
          <t>Top 5</t>
        </is>
      </c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</row>
    <row r="755" ht="18" customHeight="1">
      <c r="A755" s="14" t="inlineStr">
        <is>
          <t>1er lugar</t>
        </is>
      </c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</row>
    <row r="756" ht="18" customHeight="1">
      <c r="A756" s="14" t="inlineStr">
        <is>
          <t>2o lugar</t>
        </is>
      </c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</row>
    <row r="757" ht="18" customHeight="1">
      <c r="A757" s="14" t="inlineStr">
        <is>
          <t>3er lugar</t>
        </is>
      </c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</row>
    <row r="758" ht="18" customHeight="1">
      <c r="A758" s="14" t="inlineStr">
        <is>
          <t>4o lugar</t>
        </is>
      </c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</row>
    <row r="759" ht="18" customHeight="1">
      <c r="A759" s="14" t="inlineStr">
        <is>
          <t>5o lugar</t>
        </is>
      </c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</row>
    <row r="760" ht="6" customHeight="1"/>
    <row r="761">
      <c r="A761" s="35" t="inlineStr">
        <is>
          <t>CANCELACIONES</t>
        </is>
      </c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</row>
    <row r="762" ht="20" customHeight="1">
      <c r="A762" s="16" t="inlineStr">
        <is>
          <t>Total</t>
        </is>
      </c>
      <c r="B762" s="17" t="n"/>
    </row>
    <row r="763" ht="18" customHeight="1">
      <c r="A763" s="12" t="inlineStr">
        <is>
          <t>Top 5</t>
        </is>
      </c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</row>
    <row r="764" ht="18" customHeight="1">
      <c r="A764" s="14" t="inlineStr">
        <is>
          <t>1er lugar</t>
        </is>
      </c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</row>
    <row r="765" ht="18" customHeight="1">
      <c r="A765" s="14" t="inlineStr">
        <is>
          <t>2o lugar</t>
        </is>
      </c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</row>
    <row r="766" ht="18" customHeight="1">
      <c r="A766" s="14" t="inlineStr">
        <is>
          <t>3er lugar</t>
        </is>
      </c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</row>
    <row r="767" ht="18" customHeight="1">
      <c r="A767" s="14" t="inlineStr">
        <is>
          <t>4o lugar</t>
        </is>
      </c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</row>
    <row r="768" ht="18" customHeight="1">
      <c r="A768" s="14" t="inlineStr">
        <is>
          <t>5o lugar</t>
        </is>
      </c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</row>
    <row r="769" ht="6" customHeight="1"/>
    <row r="770">
      <c r="A770" s="35" t="inlineStr">
        <is>
          <t>COBRANZA VENCIDA</t>
        </is>
      </c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</row>
    <row r="771" ht="20" customHeight="1">
      <c r="A771" s="8" t="inlineStr">
        <is>
          <t>Total</t>
        </is>
      </c>
      <c r="B771" s="11" t="n"/>
    </row>
    <row r="772" ht="18" customHeight="1">
      <c r="A772" s="12" t="inlineStr">
        <is>
          <t>Top 5</t>
        </is>
      </c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</row>
    <row r="773" ht="18" customHeight="1">
      <c r="A773" s="14" t="inlineStr">
        <is>
          <t>1er lugar</t>
        </is>
      </c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</row>
    <row r="774" ht="18" customHeight="1">
      <c r="A774" s="14" t="inlineStr">
        <is>
          <t>2o lugar</t>
        </is>
      </c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</row>
    <row r="775" ht="18" customHeight="1">
      <c r="A775" s="14" t="inlineStr">
        <is>
          <t>3er lugar</t>
        </is>
      </c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</row>
    <row r="776" ht="18" customHeight="1">
      <c r="A776" s="14" t="inlineStr">
        <is>
          <t>4o lugar</t>
        </is>
      </c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</row>
    <row r="777" ht="18" customHeight="1">
      <c r="A777" s="14" t="inlineStr">
        <is>
          <t>5o lugar</t>
        </is>
      </c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</row>
    <row r="778" ht="6" customHeight="1"/>
    <row r="779">
      <c r="A779" s="35" t="inlineStr">
        <is>
          <t>COBRANZA EFECTIVA</t>
        </is>
      </c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</row>
    <row r="780" ht="20" customHeight="1">
      <c r="A780" s="16" t="inlineStr">
        <is>
          <t>Total</t>
        </is>
      </c>
      <c r="B780" s="17" t="n"/>
    </row>
    <row r="781" ht="18" customHeight="1">
      <c r="A781" s="12" t="inlineStr">
        <is>
          <t>Top 5</t>
        </is>
      </c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</row>
    <row r="782" ht="18" customHeight="1">
      <c r="A782" s="14" t="inlineStr">
        <is>
          <t>1er lugar</t>
        </is>
      </c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</row>
    <row r="783" ht="18" customHeight="1">
      <c r="A783" s="14" t="inlineStr">
        <is>
          <t>2o lugar</t>
        </is>
      </c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</row>
    <row r="784" ht="18" customHeight="1">
      <c r="A784" s="14" t="inlineStr">
        <is>
          <t>3er lugar</t>
        </is>
      </c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</row>
    <row r="785" ht="18" customHeight="1">
      <c r="A785" s="14" t="inlineStr">
        <is>
          <t>4o lugar</t>
        </is>
      </c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</row>
    <row r="786" ht="18" customHeight="1">
      <c r="A786" s="14" t="inlineStr">
        <is>
          <t>5o lugar</t>
        </is>
      </c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</row>
    <row r="787" ht="6" customHeight="1"/>
    <row r="788">
      <c r="A788" s="35" t="inlineStr">
        <is>
          <t>COBRANZA RECUPERADA</t>
        </is>
      </c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</row>
    <row r="789" ht="20" customHeight="1">
      <c r="A789" s="8" t="inlineStr">
        <is>
          <t>Total</t>
        </is>
      </c>
      <c r="B789" s="11" t="n"/>
    </row>
    <row r="790" ht="18" customHeight="1">
      <c r="A790" s="12" t="inlineStr">
        <is>
          <t>Top 5</t>
        </is>
      </c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</row>
    <row r="791" ht="18" customHeight="1">
      <c r="A791" s="14" t="inlineStr">
        <is>
          <t>1er lugar</t>
        </is>
      </c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</row>
    <row r="792" ht="18" customHeight="1">
      <c r="A792" s="14" t="inlineStr">
        <is>
          <t>2o lugar</t>
        </is>
      </c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</row>
    <row r="793" ht="18" customHeight="1">
      <c r="A793" s="14" t="inlineStr">
        <is>
          <t>3er lugar</t>
        </is>
      </c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</row>
    <row r="794" ht="18" customHeight="1">
      <c r="A794" s="14" t="inlineStr">
        <is>
          <t>4o lugar</t>
        </is>
      </c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</row>
    <row r="795" ht="18" customHeight="1">
      <c r="A795" s="14" t="inlineStr">
        <is>
          <t>5o lugar</t>
        </is>
      </c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</row>
    <row r="796" ht="6" customHeight="1"/>
    <row r="797">
      <c r="A797" s="35" t="inlineStr">
        <is>
          <t>COBRANZA TOTAL GENERAL</t>
        </is>
      </c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</row>
    <row r="798" ht="20" customHeight="1">
      <c r="A798" s="16" t="inlineStr">
        <is>
          <t>Total</t>
        </is>
      </c>
      <c r="B798" s="17" t="n"/>
    </row>
    <row r="799" ht="18" customHeight="1">
      <c r="A799" s="12" t="inlineStr">
        <is>
          <t>Top 5</t>
        </is>
      </c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</row>
    <row r="800" ht="18" customHeight="1">
      <c r="A800" s="14" t="inlineStr">
        <is>
          <t>1er lugar</t>
        </is>
      </c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</row>
    <row r="801" ht="18" customHeight="1">
      <c r="A801" s="14" t="inlineStr">
        <is>
          <t>2o lugar</t>
        </is>
      </c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</row>
    <row r="802" ht="18" customHeight="1">
      <c r="A802" s="14" t="inlineStr">
        <is>
          <t>3er lugar</t>
        </is>
      </c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</row>
    <row r="803" ht="18" customHeight="1">
      <c r="A803" s="14" t="inlineStr">
        <is>
          <t>4o lugar</t>
        </is>
      </c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</row>
    <row r="804" ht="18" customHeight="1">
      <c r="A804" s="14" t="inlineStr">
        <is>
          <t>5o lugar</t>
        </is>
      </c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</row>
    <row r="805" ht="6" customHeight="1"/>
    <row r="806">
      <c r="A806" s="35" t="inlineStr">
        <is>
          <t>COBRANZA ADELANTADA F.</t>
        </is>
      </c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</row>
    <row r="807" ht="20" customHeight="1">
      <c r="A807" s="8" t="inlineStr">
        <is>
          <t>Total</t>
        </is>
      </c>
      <c r="B807" s="11" t="n"/>
    </row>
    <row r="808" ht="18" customHeight="1">
      <c r="A808" s="12" t="inlineStr">
        <is>
          <t>Top 5</t>
        </is>
      </c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</row>
    <row r="809" ht="18" customHeight="1">
      <c r="A809" s="14" t="inlineStr">
        <is>
          <t>1er lugar</t>
        </is>
      </c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</row>
    <row r="810" ht="18" customHeight="1">
      <c r="A810" s="14" t="inlineStr">
        <is>
          <t>2o lugar</t>
        </is>
      </c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</row>
    <row r="811" ht="18" customHeight="1">
      <c r="A811" s="14" t="inlineStr">
        <is>
          <t>3er lugar</t>
        </is>
      </c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</row>
    <row r="812" ht="18" customHeight="1">
      <c r="A812" s="14" t="inlineStr">
        <is>
          <t>4o lugar</t>
        </is>
      </c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</row>
    <row r="813" ht="18" customHeight="1">
      <c r="A813" s="14" t="inlineStr">
        <is>
          <t>5o lugar</t>
        </is>
      </c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</row>
    <row r="814" ht="6" customHeight="1"/>
    <row r="815">
      <c r="A815" s="82" t="inlineStr">
        <is>
          <t>PROYECCIÓN NOVIEMBRE → NOVIEMBRE</t>
        </is>
      </c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</row>
    <row r="816">
      <c r="A816" s="19" t="inlineStr">
        <is>
          <t>Proyección NOVIEMBRE</t>
        </is>
      </c>
      <c r="B816" s="20" t="n"/>
    </row>
    <row r="818" ht="14" customHeight="1"/>
    <row r="819" ht="22" customHeight="1">
      <c r="A819" s="4" t="inlineStr">
        <is>
          <t>DICIEMBRE 2026</t>
        </is>
      </c>
    </row>
    <row r="820" ht="28" customHeight="1">
      <c r="A820" s="5" t="inlineStr">
        <is>
          <t>CONCEPTO</t>
        </is>
      </c>
      <c r="B820" s="5" t="inlineStr">
        <is>
          <t>TOTAL ($)</t>
        </is>
      </c>
      <c r="C820" s="5" t="inlineStr">
        <is>
          <t>TOP 1</t>
        </is>
      </c>
      <c r="D820" s="5" t="inlineStr">
        <is>
          <t>TOP 2</t>
        </is>
      </c>
      <c r="E820" s="5" t="inlineStr">
        <is>
          <t>TOP 3</t>
        </is>
      </c>
      <c r="F820" s="5" t="inlineStr">
        <is>
          <t>TOP 4</t>
        </is>
      </c>
      <c r="G820" s="5" t="inlineStr">
        <is>
          <t>TOP 5</t>
        </is>
      </c>
      <c r="H820" s="5" t="inlineStr">
        <is>
          <t>% TOP 1</t>
        </is>
      </c>
      <c r="I820" s="5" t="inlineStr">
        <is>
          <t>% TOP 2</t>
        </is>
      </c>
      <c r="J820" s="5" t="inlineStr">
        <is>
          <t>% TOP 3</t>
        </is>
      </c>
      <c r="K820" s="5" t="inlineStr">
        <is>
          <t>% TOP 4</t>
        </is>
      </c>
      <c r="L820" s="5" t="inlineStr">
        <is>
          <t>% TOP 5</t>
        </is>
      </c>
      <c r="M820" s="5" t="inlineStr">
        <is>
          <t>% ACUM.</t>
        </is>
      </c>
    </row>
    <row r="821">
      <c r="A821" s="35" t="inlineStr">
        <is>
          <t>DATOS GENERALES</t>
        </is>
      </c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</row>
    <row r="822">
      <c r="A822" s="8" t="inlineStr">
        <is>
          <t>Mes</t>
        </is>
      </c>
      <c r="B822" s="9" t="inlineStr">
        <is>
          <t>DICIEMBRE</t>
        </is>
      </c>
      <c r="E822" s="8" t="inlineStr">
        <is>
          <t>Año</t>
        </is>
      </c>
      <c r="F822" s="9" t="inlineStr">
        <is>
          <t>2026</t>
        </is>
      </c>
    </row>
    <row r="823">
      <c r="A823" s="8" t="inlineStr">
        <is>
          <t>Fecha de corte</t>
        </is>
      </c>
      <c r="B823" s="10" t="n"/>
      <c r="E823" s="8" t="inlineStr">
        <is>
          <t>Elaboró</t>
        </is>
      </c>
      <c r="F823" s="10" t="n"/>
    </row>
    <row r="824">
      <c r="A824" s="8" t="inlineStr">
        <is>
          <t>Reportado por</t>
        </is>
      </c>
      <c r="B824" s="10" t="n"/>
      <c r="E824" s="8" t="inlineStr">
        <is>
          <t>Cargo</t>
        </is>
      </c>
      <c r="F824" s="10" t="n"/>
    </row>
    <row r="825" ht="6" customHeight="1"/>
    <row r="826">
      <c r="A826" s="35" t="inlineStr">
        <is>
          <t>COBRANZA CORRIENTE</t>
        </is>
      </c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</row>
    <row r="827" ht="20" customHeight="1">
      <c r="A827" s="8" t="inlineStr">
        <is>
          <t>Total</t>
        </is>
      </c>
      <c r="B827" s="11" t="n"/>
    </row>
    <row r="828" ht="18" customHeight="1">
      <c r="A828" s="12" t="inlineStr">
        <is>
          <t>Top 5</t>
        </is>
      </c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</row>
    <row r="829" ht="18" customHeight="1">
      <c r="A829" s="14" t="inlineStr">
        <is>
          <t>1er lugar</t>
        </is>
      </c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</row>
    <row r="830" ht="18" customHeight="1">
      <c r="A830" s="14" t="inlineStr">
        <is>
          <t>2o lugar</t>
        </is>
      </c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</row>
    <row r="831" ht="18" customHeight="1">
      <c r="A831" s="14" t="inlineStr">
        <is>
          <t>3er lugar</t>
        </is>
      </c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</row>
    <row r="832" ht="18" customHeight="1">
      <c r="A832" s="14" t="inlineStr">
        <is>
          <t>4o lugar</t>
        </is>
      </c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</row>
    <row r="833" ht="18" customHeight="1">
      <c r="A833" s="14" t="inlineStr">
        <is>
          <t>5o lugar</t>
        </is>
      </c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</row>
    <row r="834" ht="6" customHeight="1"/>
    <row r="835">
      <c r="A835" s="35" t="inlineStr">
        <is>
          <t>CANCELACIONES</t>
        </is>
      </c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</row>
    <row r="836" ht="20" customHeight="1">
      <c r="A836" s="16" t="inlineStr">
        <is>
          <t>Total</t>
        </is>
      </c>
      <c r="B836" s="17" t="n"/>
    </row>
    <row r="837" ht="18" customHeight="1">
      <c r="A837" s="12" t="inlineStr">
        <is>
          <t>Top 5</t>
        </is>
      </c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</row>
    <row r="838" ht="18" customHeight="1">
      <c r="A838" s="14" t="inlineStr">
        <is>
          <t>1er lugar</t>
        </is>
      </c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</row>
    <row r="839" ht="18" customHeight="1">
      <c r="A839" s="14" t="inlineStr">
        <is>
          <t>2o lugar</t>
        </is>
      </c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</row>
    <row r="840" ht="18" customHeight="1">
      <c r="A840" s="14" t="inlineStr">
        <is>
          <t>3er lugar</t>
        </is>
      </c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</row>
    <row r="841" ht="18" customHeight="1">
      <c r="A841" s="14" t="inlineStr">
        <is>
          <t>4o lugar</t>
        </is>
      </c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</row>
    <row r="842" ht="18" customHeight="1">
      <c r="A842" s="14" t="inlineStr">
        <is>
          <t>5o lugar</t>
        </is>
      </c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</row>
    <row r="843" ht="6" customHeight="1"/>
    <row r="844">
      <c r="A844" s="35" t="inlineStr">
        <is>
          <t>COBRANZA VENCIDA</t>
        </is>
      </c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</row>
    <row r="845" ht="20" customHeight="1">
      <c r="A845" s="8" t="inlineStr">
        <is>
          <t>Total</t>
        </is>
      </c>
      <c r="B845" s="11" t="n"/>
    </row>
    <row r="846" ht="18" customHeight="1">
      <c r="A846" s="12" t="inlineStr">
        <is>
          <t>Top 5</t>
        </is>
      </c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</row>
    <row r="847" ht="18" customHeight="1">
      <c r="A847" s="14" t="inlineStr">
        <is>
          <t>1er lugar</t>
        </is>
      </c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</row>
    <row r="848" ht="18" customHeight="1">
      <c r="A848" s="14" t="inlineStr">
        <is>
          <t>2o lugar</t>
        </is>
      </c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</row>
    <row r="849" ht="18" customHeight="1">
      <c r="A849" s="14" t="inlineStr">
        <is>
          <t>3er lugar</t>
        </is>
      </c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</row>
    <row r="850" ht="18" customHeight="1">
      <c r="A850" s="14" t="inlineStr">
        <is>
          <t>4o lugar</t>
        </is>
      </c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</row>
    <row r="851" ht="18" customHeight="1">
      <c r="A851" s="14" t="inlineStr">
        <is>
          <t>5o lugar</t>
        </is>
      </c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</row>
    <row r="852" ht="6" customHeight="1"/>
    <row r="853">
      <c r="A853" s="35" t="inlineStr">
        <is>
          <t>COBRANZA EFECTIVA</t>
        </is>
      </c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</row>
    <row r="854" ht="20" customHeight="1">
      <c r="A854" s="16" t="inlineStr">
        <is>
          <t>Total</t>
        </is>
      </c>
      <c r="B854" s="17" t="n"/>
    </row>
    <row r="855" ht="18" customHeight="1">
      <c r="A855" s="12" t="inlineStr">
        <is>
          <t>Top 5</t>
        </is>
      </c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</row>
    <row r="856" ht="18" customHeight="1">
      <c r="A856" s="14" t="inlineStr">
        <is>
          <t>1er lugar</t>
        </is>
      </c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</row>
    <row r="857" ht="18" customHeight="1">
      <c r="A857" s="14" t="inlineStr">
        <is>
          <t>2o lugar</t>
        </is>
      </c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</row>
    <row r="858" ht="18" customHeight="1">
      <c r="A858" s="14" t="inlineStr">
        <is>
          <t>3er lugar</t>
        </is>
      </c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</row>
    <row r="859" ht="18" customHeight="1">
      <c r="A859" s="14" t="inlineStr">
        <is>
          <t>4o lugar</t>
        </is>
      </c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</row>
    <row r="860" ht="18" customHeight="1">
      <c r="A860" s="14" t="inlineStr">
        <is>
          <t>5o lugar</t>
        </is>
      </c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</row>
    <row r="861" ht="6" customHeight="1"/>
    <row r="862">
      <c r="A862" s="35" t="inlineStr">
        <is>
          <t>COBRANZA RECUPERADA</t>
        </is>
      </c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</row>
    <row r="863" ht="20" customHeight="1">
      <c r="A863" s="8" t="inlineStr">
        <is>
          <t>Total</t>
        </is>
      </c>
      <c r="B863" s="11" t="n"/>
    </row>
    <row r="864" ht="18" customHeight="1">
      <c r="A864" s="12" t="inlineStr">
        <is>
          <t>Top 5</t>
        </is>
      </c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</row>
    <row r="865" ht="18" customHeight="1">
      <c r="A865" s="14" t="inlineStr">
        <is>
          <t>1er lugar</t>
        </is>
      </c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</row>
    <row r="866" ht="18" customHeight="1">
      <c r="A866" s="14" t="inlineStr">
        <is>
          <t>2o lugar</t>
        </is>
      </c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</row>
    <row r="867" ht="18" customHeight="1">
      <c r="A867" s="14" t="inlineStr">
        <is>
          <t>3er lugar</t>
        </is>
      </c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</row>
    <row r="868" ht="18" customHeight="1">
      <c r="A868" s="14" t="inlineStr">
        <is>
          <t>4o lugar</t>
        </is>
      </c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</row>
    <row r="869" ht="18" customHeight="1">
      <c r="A869" s="14" t="inlineStr">
        <is>
          <t>5o lugar</t>
        </is>
      </c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</row>
    <row r="870" ht="6" customHeight="1"/>
    <row r="871">
      <c r="A871" s="35" t="inlineStr">
        <is>
          <t>COBRANZA TOTAL GENERAL</t>
        </is>
      </c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</row>
    <row r="872" ht="20" customHeight="1">
      <c r="A872" s="16" t="inlineStr">
        <is>
          <t>Total</t>
        </is>
      </c>
      <c r="B872" s="17" t="n"/>
    </row>
    <row r="873" ht="18" customHeight="1">
      <c r="A873" s="12" t="inlineStr">
        <is>
          <t>Top 5</t>
        </is>
      </c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</row>
    <row r="874" ht="18" customHeight="1">
      <c r="A874" s="14" t="inlineStr">
        <is>
          <t>1er lugar</t>
        </is>
      </c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</row>
    <row r="875" ht="18" customHeight="1">
      <c r="A875" s="14" t="inlineStr">
        <is>
          <t>2o lugar</t>
        </is>
      </c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</row>
    <row r="876" ht="18" customHeight="1">
      <c r="A876" s="14" t="inlineStr">
        <is>
          <t>3er lugar</t>
        </is>
      </c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</row>
    <row r="877" ht="18" customHeight="1">
      <c r="A877" s="14" t="inlineStr">
        <is>
          <t>4o lugar</t>
        </is>
      </c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</row>
    <row r="878" ht="18" customHeight="1">
      <c r="A878" s="14" t="inlineStr">
        <is>
          <t>5o lugar</t>
        </is>
      </c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</row>
    <row r="879" ht="6" customHeight="1"/>
    <row r="880">
      <c r="A880" s="35" t="inlineStr">
        <is>
          <t>COBRANZA ADELANTADA F.</t>
        </is>
      </c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</row>
    <row r="881" ht="20" customHeight="1">
      <c r="A881" s="8" t="inlineStr">
        <is>
          <t>Total</t>
        </is>
      </c>
      <c r="B881" s="11" t="n"/>
    </row>
    <row r="882" ht="18" customHeight="1">
      <c r="A882" s="12" t="inlineStr">
        <is>
          <t>Top 5</t>
        </is>
      </c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</row>
    <row r="883" ht="18" customHeight="1">
      <c r="A883" s="14" t="inlineStr">
        <is>
          <t>1er lugar</t>
        </is>
      </c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</row>
    <row r="884" ht="18" customHeight="1">
      <c r="A884" s="14" t="inlineStr">
        <is>
          <t>2o lugar</t>
        </is>
      </c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</row>
    <row r="885" ht="18" customHeight="1">
      <c r="A885" s="14" t="inlineStr">
        <is>
          <t>3er lugar</t>
        </is>
      </c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</row>
    <row r="886" ht="18" customHeight="1">
      <c r="A886" s="14" t="inlineStr">
        <is>
          <t>4o lugar</t>
        </is>
      </c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</row>
    <row r="887" ht="18" customHeight="1">
      <c r="A887" s="14" t="inlineStr">
        <is>
          <t>5o lugar</t>
        </is>
      </c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</row>
    <row r="888" ht="6" customHeight="1"/>
    <row r="889">
      <c r="A889" s="82" t="inlineStr">
        <is>
          <t>PROYECCIÓN DICIEMBRE → DICIEMBRE</t>
        </is>
      </c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</row>
    <row r="890">
      <c r="A890" s="19" t="inlineStr">
        <is>
          <t>Proyección DICIEMBRE</t>
        </is>
      </c>
      <c r="B890" s="20" t="n"/>
    </row>
    <row r="892" ht="14" customHeight="1"/>
    <row r="895" ht="24" customHeight="1">
      <c r="A895" s="21" t="inlineStr">
        <is>
          <t>RESUMEN ANUAL 2026</t>
        </is>
      </c>
    </row>
    <row r="896" ht="26" customHeight="1">
      <c r="A896" s="22" t="inlineStr">
        <is>
          <t>CONCEPTO</t>
        </is>
      </c>
      <c r="B896" s="22" t="inlineStr">
        <is>
          <t>ENE</t>
        </is>
      </c>
      <c r="C896" s="22" t="inlineStr">
        <is>
          <t>FEB</t>
        </is>
      </c>
      <c r="D896" s="22" t="inlineStr">
        <is>
          <t>MAR</t>
        </is>
      </c>
      <c r="E896" s="22" t="inlineStr">
        <is>
          <t>ABR</t>
        </is>
      </c>
      <c r="F896" s="22" t="inlineStr">
        <is>
          <t>MAY</t>
        </is>
      </c>
      <c r="G896" s="22" t="inlineStr">
        <is>
          <t>JUN</t>
        </is>
      </c>
      <c r="H896" s="22" t="inlineStr">
        <is>
          <t>JUL</t>
        </is>
      </c>
      <c r="I896" s="22" t="inlineStr">
        <is>
          <t>AGO</t>
        </is>
      </c>
      <c r="J896" s="22" t="inlineStr">
        <is>
          <t>SEP</t>
        </is>
      </c>
      <c r="K896" s="22" t="inlineStr">
        <is>
          <t>OCT</t>
        </is>
      </c>
      <c r="L896" s="22" t="inlineStr">
        <is>
          <t>NOV</t>
        </is>
      </c>
      <c r="M896" s="22" t="inlineStr">
        <is>
          <t>DIC</t>
        </is>
      </c>
      <c r="N896" s="22" t="inlineStr">
        <is>
          <t>TOTAL</t>
        </is>
      </c>
      <c r="O896" s="22" t="inlineStr">
        <is>
          <t>% PART.</t>
        </is>
      </c>
    </row>
    <row r="897" ht="18" customHeight="1">
      <c r="A897" s="23" t="inlineStr">
        <is>
          <t>COBRANZA CORRIENTE</t>
        </is>
      </c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</row>
    <row r="898" ht="18" customHeight="1">
      <c r="A898" s="25" t="inlineStr">
        <is>
          <t>CANCELACIONES</t>
        </is>
      </c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</row>
    <row r="899" ht="18" customHeight="1">
      <c r="A899" s="23" t="inlineStr">
        <is>
          <t>COBRANZA VENCIDA</t>
        </is>
      </c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</row>
    <row r="900" ht="18" customHeight="1">
      <c r="A900" s="25" t="inlineStr">
        <is>
          <t>COBRANZA EFECTIVA</t>
        </is>
      </c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</row>
    <row r="901" ht="18" customHeight="1">
      <c r="A901" s="23" t="inlineStr">
        <is>
          <t>COBRANZA RECUPERADA</t>
        </is>
      </c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</row>
    <row r="902" ht="18" customHeight="1">
      <c r="A902" s="25" t="inlineStr">
        <is>
          <t>COBRANZA TOTAL GENERAL</t>
        </is>
      </c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</row>
    <row r="903" ht="18" customHeight="1">
      <c r="A903" s="23" t="inlineStr">
        <is>
          <t>COBRANZA ADELANTADA F.</t>
        </is>
      </c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</row>
    <row r="904" ht="18" customHeight="1">
      <c r="A904" s="25" t="inlineStr">
        <is>
          <t>PROYECCIÓN</t>
        </is>
      </c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</row>
    <row r="907" ht="20" customHeight="1">
      <c r="A907" s="27" t="inlineStr">
        <is>
          <t>NOTAS Y LEYENDA</t>
        </is>
      </c>
    </row>
    <row r="908" ht="16" customHeight="1">
      <c r="A908" s="14" t="inlineStr">
        <is>
          <t>• Los totales de cada apartado se calculan sin filtrar por STATUS (suma completa del bloque).</t>
        </is>
      </c>
    </row>
    <row r="909" ht="16" customHeight="1">
      <c r="A909" s="14" t="inlineStr">
        <is>
          <t>• Top 5 por VENDEDOR: Cobranza Corriente, Cancelaciones.</t>
        </is>
      </c>
    </row>
    <row r="910" ht="16" customHeight="1">
      <c r="A910" s="14" t="inlineStr">
        <is>
          <t>• Top 5 por UBICACIÓN: Cobranza Vencida.</t>
        </is>
      </c>
    </row>
    <row r="911" ht="16" customHeight="1">
      <c r="A911" s="14" t="inlineStr">
        <is>
          <t>• Top 5 por COBRADO: Cobranza Efectiva, Recuperada, Adelantada F., Total General.</t>
        </is>
      </c>
    </row>
    <row r="912" ht="16" customHeight="1">
      <c r="A912" s="14" t="inlineStr">
        <is>
          <t>• Los montos de TRANSFERENCIAS / DEPÓSITOS se muestran consolidados como 'TRANSFER. / DEPTOS.' en Top 5.</t>
        </is>
      </c>
    </row>
    <row r="913" ht="16" customHeight="1">
      <c r="A913" s="14" t="inlineStr">
        <is>
          <t>• Proyección = estimación de cobranza para el mes siguiente basada en tendencia.</t>
        </is>
      </c>
    </row>
    <row r="914" ht="16" customHeight="1">
      <c r="A914" s="14" t="inlineStr">
        <is>
          <t>• Colores: Encabezados azul oscuro (#1F3C6E) | Acentos dorado (#C9A84C) | Filas alternadas.</t>
        </is>
      </c>
    </row>
  </sheetData>
  <mergeCells count="258">
    <mergeCell ref="A362:N362"/>
    <mergeCell ref="A913:N913"/>
    <mergeCell ref="B231:D231"/>
    <mergeCell ref="A39:N39"/>
    <mergeCell ref="A279:N279"/>
    <mergeCell ref="A48:N48"/>
    <mergeCell ref="A30:N30"/>
    <mergeCell ref="A819:N819"/>
    <mergeCell ref="A530:N530"/>
    <mergeCell ref="B157:D157"/>
    <mergeCell ref="A476:B476"/>
    <mergeCell ref="A539:N539"/>
    <mergeCell ref="A88:B88"/>
    <mergeCell ref="A162:B162"/>
    <mergeCell ref="A169:N169"/>
    <mergeCell ref="A346:B346"/>
    <mergeCell ref="A523:N523"/>
    <mergeCell ref="A355:B355"/>
    <mergeCell ref="A79:N79"/>
    <mergeCell ref="A821:N821"/>
    <mergeCell ref="A908:N908"/>
    <mergeCell ref="B230:D230"/>
    <mergeCell ref="A606:B606"/>
    <mergeCell ref="B890:F890"/>
    <mergeCell ref="A41:B41"/>
    <mergeCell ref="A153:N153"/>
    <mergeCell ref="A678:N678"/>
    <mergeCell ref="B84:D84"/>
    <mergeCell ref="A624:B624"/>
    <mergeCell ref="A687:N687"/>
    <mergeCell ref="A227:N227"/>
    <mergeCell ref="A871:N871"/>
    <mergeCell ref="B158:D158"/>
    <mergeCell ref="B594:F594"/>
    <mergeCell ref="A557:N557"/>
    <mergeCell ref="A236:B236"/>
    <mergeCell ref="A438:B438"/>
    <mergeCell ref="A503:B503"/>
    <mergeCell ref="A566:N566"/>
    <mergeCell ref="A512:B512"/>
    <mergeCell ref="A754:B754"/>
    <mergeCell ref="A577:B577"/>
    <mergeCell ref="B378:D378"/>
    <mergeCell ref="B527:D527"/>
    <mergeCell ref="B305:D305"/>
    <mergeCell ref="A828:B828"/>
    <mergeCell ref="B306:D306"/>
    <mergeCell ref="A716:B716"/>
    <mergeCell ref="B668:F668"/>
    <mergeCell ref="A725:B725"/>
    <mergeCell ref="A790:B790"/>
    <mergeCell ref="A234:N234"/>
    <mergeCell ref="A411:B411"/>
    <mergeCell ref="A131:N131"/>
    <mergeCell ref="A68:B68"/>
    <mergeCell ref="A371:N371"/>
    <mergeCell ref="A613:N613"/>
    <mergeCell ref="A696:N696"/>
    <mergeCell ref="A911:N911"/>
    <mergeCell ref="A889:N889"/>
    <mergeCell ref="B816:F816"/>
    <mergeCell ref="A705:N705"/>
    <mergeCell ref="A770:N770"/>
    <mergeCell ref="A155:N155"/>
    <mergeCell ref="A245:B245"/>
    <mergeCell ref="A308:N308"/>
    <mergeCell ref="A510:N510"/>
    <mergeCell ref="A391:N391"/>
    <mergeCell ref="A337:B337"/>
    <mergeCell ref="A229:N229"/>
    <mergeCell ref="A319:B319"/>
    <mergeCell ref="A344:N344"/>
    <mergeCell ref="A584:N584"/>
    <mergeCell ref="A400:N400"/>
    <mergeCell ref="A59:B59"/>
    <mergeCell ref="B224:F224"/>
    <mergeCell ref="A261:N261"/>
    <mergeCell ref="A142:B142"/>
    <mergeCell ref="A747:N747"/>
    <mergeCell ref="A270:N270"/>
    <mergeCell ref="A599:N599"/>
    <mergeCell ref="A912:N912"/>
    <mergeCell ref="A216:B216"/>
    <mergeCell ref="A458:B458"/>
    <mergeCell ref="A281:B281"/>
    <mergeCell ref="B82:D82"/>
    <mergeCell ref="A467:B467"/>
    <mergeCell ref="A797:N797"/>
    <mergeCell ref="A844:N844"/>
    <mergeCell ref="A532:B532"/>
    <mergeCell ref="A1:N1"/>
    <mergeCell ref="A741:N741"/>
    <mergeCell ref="B379:D379"/>
    <mergeCell ref="A548:N548"/>
    <mergeCell ref="A429:B429"/>
    <mergeCell ref="A427:N427"/>
    <mergeCell ref="B304:D304"/>
    <mergeCell ref="A205:N205"/>
    <mergeCell ref="A364:B364"/>
    <mergeCell ref="B602:D602"/>
    <mergeCell ref="A855:B855"/>
    <mergeCell ref="B83:D83"/>
    <mergeCell ref="A808:B808"/>
    <mergeCell ref="A864:B864"/>
    <mergeCell ref="A75:N75"/>
    <mergeCell ref="A910:N910"/>
    <mergeCell ref="A317:N317"/>
    <mergeCell ref="A326:N326"/>
    <mergeCell ref="A667:N667"/>
    <mergeCell ref="A272:B272"/>
    <mergeCell ref="A409:N409"/>
    <mergeCell ref="A3:N3"/>
    <mergeCell ref="A418:N418"/>
    <mergeCell ref="B446:F446"/>
    <mergeCell ref="A301:N301"/>
    <mergeCell ref="A586:B586"/>
    <mergeCell ref="A640:N640"/>
    <mergeCell ref="A745:N745"/>
    <mergeCell ref="B520:F520"/>
    <mergeCell ref="A21:N21"/>
    <mergeCell ref="A104:N104"/>
    <mergeCell ref="A297:N297"/>
    <mergeCell ref="A57:N57"/>
    <mergeCell ref="A113:N113"/>
    <mergeCell ref="A5:N5"/>
    <mergeCell ref="A604:N604"/>
    <mergeCell ref="A631:N631"/>
    <mergeCell ref="A303:N303"/>
    <mergeCell ref="B232:D232"/>
    <mergeCell ref="B372:F372"/>
    <mergeCell ref="A483:N483"/>
    <mergeCell ref="A660:B660"/>
    <mergeCell ref="A171:B171"/>
    <mergeCell ref="A180:B180"/>
    <mergeCell ref="A494:B494"/>
    <mergeCell ref="A597:N597"/>
    <mergeCell ref="B675:D675"/>
    <mergeCell ref="A436:N436"/>
    <mergeCell ref="A451:N451"/>
    <mergeCell ref="A115:B115"/>
    <mergeCell ref="B749:D749"/>
    <mergeCell ref="B76:F76"/>
    <mergeCell ref="A445:N445"/>
    <mergeCell ref="A633:B633"/>
    <mergeCell ref="A525:N525"/>
    <mergeCell ref="A761:N761"/>
    <mergeCell ref="A873:B873"/>
    <mergeCell ref="A642:B642"/>
    <mergeCell ref="B748:D748"/>
    <mergeCell ref="A382:N382"/>
    <mergeCell ref="A559:B559"/>
    <mergeCell ref="A328:B328"/>
    <mergeCell ref="A310:B310"/>
    <mergeCell ref="A568:B568"/>
    <mergeCell ref="A402:B402"/>
    <mergeCell ref="A732:N732"/>
    <mergeCell ref="B150:F150"/>
    <mergeCell ref="B452:D452"/>
    <mergeCell ref="A207:B207"/>
    <mergeCell ref="B750:D750"/>
    <mergeCell ref="A835:N835"/>
    <mergeCell ref="A781:B781"/>
    <mergeCell ref="B823:D823"/>
    <mergeCell ref="A492:N492"/>
    <mergeCell ref="A846:B846"/>
    <mergeCell ref="A909:N909"/>
    <mergeCell ref="A658:N658"/>
    <mergeCell ref="A187:N187"/>
    <mergeCell ref="A252:N252"/>
    <mergeCell ref="A133:B133"/>
    <mergeCell ref="A196:N196"/>
    <mergeCell ref="A914:N914"/>
    <mergeCell ref="A66:N66"/>
    <mergeCell ref="A149:N149"/>
    <mergeCell ref="A223:N223"/>
    <mergeCell ref="A465:N465"/>
    <mergeCell ref="A474:N474"/>
    <mergeCell ref="A2:N2"/>
    <mergeCell ref="A86:N86"/>
    <mergeCell ref="A32:B32"/>
    <mergeCell ref="A95:N95"/>
    <mergeCell ref="A449:N449"/>
    <mergeCell ref="A23:B23"/>
    <mergeCell ref="A160:N160"/>
    <mergeCell ref="A290:B290"/>
    <mergeCell ref="A106:B106"/>
    <mergeCell ref="B380:D380"/>
    <mergeCell ref="B156:D156"/>
    <mergeCell ref="A377:N377"/>
    <mergeCell ref="B454:D454"/>
    <mergeCell ref="A122:N122"/>
    <mergeCell ref="A880:N880"/>
    <mergeCell ref="A862:N862"/>
    <mergeCell ref="A815:N815"/>
    <mergeCell ref="A671:N671"/>
    <mergeCell ref="A81:N81"/>
    <mergeCell ref="B674:D674"/>
    <mergeCell ref="A907:N907"/>
    <mergeCell ref="B676:D676"/>
    <mergeCell ref="A680:B680"/>
    <mergeCell ref="A288:N288"/>
    <mergeCell ref="A673:N673"/>
    <mergeCell ref="B822:D822"/>
    <mergeCell ref="A615:B615"/>
    <mergeCell ref="A707:B707"/>
    <mergeCell ref="B601:D601"/>
    <mergeCell ref="A178:N178"/>
    <mergeCell ref="B824:D824"/>
    <mergeCell ref="A124:B124"/>
    <mergeCell ref="A837:B837"/>
    <mergeCell ref="A806:N806"/>
    <mergeCell ref="A485:B485"/>
    <mergeCell ref="A649:N649"/>
    <mergeCell ref="A501:N501"/>
    <mergeCell ref="A243:N243"/>
    <mergeCell ref="A189:B189"/>
    <mergeCell ref="A335:N335"/>
    <mergeCell ref="A519:N519"/>
    <mergeCell ref="A575:N575"/>
    <mergeCell ref="A198:B198"/>
    <mergeCell ref="A375:N375"/>
    <mergeCell ref="A689:B689"/>
    <mergeCell ref="A50:B50"/>
    <mergeCell ref="A698:B698"/>
    <mergeCell ref="A752:N752"/>
    <mergeCell ref="A763:B763"/>
    <mergeCell ref="B453:D453"/>
    <mergeCell ref="A772:B772"/>
    <mergeCell ref="A826:N826"/>
    <mergeCell ref="A214:N214"/>
    <mergeCell ref="A384:B384"/>
    <mergeCell ref="A456:N456"/>
    <mergeCell ref="A714:N714"/>
    <mergeCell ref="A393:B393"/>
    <mergeCell ref="A723:N723"/>
    <mergeCell ref="A779:N779"/>
    <mergeCell ref="A254:B254"/>
    <mergeCell ref="B526:D526"/>
    <mergeCell ref="A651:B651"/>
    <mergeCell ref="A734:B734"/>
    <mergeCell ref="A263:B263"/>
    <mergeCell ref="B600:D600"/>
    <mergeCell ref="A788:N788"/>
    <mergeCell ref="B298:F298"/>
    <mergeCell ref="A97:B97"/>
    <mergeCell ref="A420:B420"/>
    <mergeCell ref="A895:N895"/>
    <mergeCell ref="A140:N140"/>
    <mergeCell ref="B528:D528"/>
    <mergeCell ref="A622:N622"/>
    <mergeCell ref="A853:N853"/>
    <mergeCell ref="B742:F742"/>
    <mergeCell ref="A799:B799"/>
    <mergeCell ref="A541:B541"/>
    <mergeCell ref="A882:B882"/>
    <mergeCell ref="A550:B550"/>
    <mergeCell ref="A593:N593"/>
    <mergeCell ref="A353:N353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2026-05-21T14:51:41Z</dcterms:created>
  <dcterms:modified xmlns:dcterms="http://purl.org/dc/terms/" xmlns:xsi="http://www.w3.org/2001/XMLSchema-instance" xsi:type="dcterms:W3CDTF">2026-05-22T19:02:02Z</dcterms:modified>
</cp:coreProperties>
</file>