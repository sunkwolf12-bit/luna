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$#,##0.00"/>
    <numFmt numFmtId="167" formatCode="$#,##0"/>
    <numFmt numFmtId="168" formatCode="0.0&quot;%&quot;"/>
  </numFmts>
  <fonts count="91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  <font>
      <b val="1"/>
      <color rgb="00FFFFFF"/>
      <sz val="10"/>
    </font>
    <font>
      <b val="1"/>
      <color rgb="00C9A227"/>
      <sz val="12"/>
    </font>
    <font>
      <b val="1"/>
      <color rgb="001F3864"/>
      <sz val="10"/>
    </font>
    <font>
      <b val="1"/>
      <color rgb="001F3864"/>
      <sz val="11"/>
    </font>
    <font>
      <b val="1"/>
      <color rgb="00000000"/>
      <sz val="9"/>
    </font>
    <font>
      <color rgb="00595959"/>
      <sz val="9"/>
    </font>
    <font>
      <color rgb="00000000"/>
      <sz val="10"/>
    </font>
    <font>
      <b val="1"/>
      <color rgb="002E5FA3"/>
      <sz val="10"/>
    </font>
    <font>
      <b val="1"/>
      <color rgb="00C9A227"/>
      <sz val="22"/>
    </font>
    <font>
      <b val="1"/>
      <color rgb="00FFFFFF"/>
      <sz val="14"/>
    </font>
    <font>
      <b val="1"/>
      <color rgb="00FFFFFF"/>
      <sz val="12"/>
    </font>
    <font>
      <b val="1"/>
      <color rgb="001F3864"/>
      <sz val="14"/>
    </font>
    <font>
      <b val="1"/>
      <color rgb="00FFFFFF"/>
      <sz val="11"/>
    </font>
    <font>
      <b val="1"/>
      <color rgb="001F3864"/>
      <sz val="20"/>
    </font>
    <font>
      <i val="1"/>
      <color rgb="00595959"/>
      <sz val="10"/>
    </font>
    <font>
      <sz val="10"/>
    </font>
    <font>
      <sz val="12"/>
    </font>
    <font>
      <color rgb="002E5FA3"/>
      <sz val="12"/>
    </font>
    <font>
      <i val="1"/>
      <color rgb="00595959"/>
      <sz val="9"/>
    </font>
    <font>
      <b val="1"/>
      <sz val="10"/>
    </font>
    <font>
      <b val="1"/>
      <sz val="12"/>
    </font>
    <font>
      <b val="1"/>
      <color rgb="002E5FA3"/>
      <sz val="12"/>
    </font>
  </fonts>
  <fills count="31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  <fill>
      <patternFill patternType="solid">
        <fgColor rgb="001F3864"/>
        <bgColor rgb="001F3864"/>
      </patternFill>
    </fill>
    <fill>
      <patternFill patternType="solid">
        <fgColor rgb="002E5FA3"/>
        <bgColor rgb="002E5FA3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375623"/>
        <bgColor rgb="00375623"/>
      </patternFill>
    </fill>
    <fill>
      <patternFill patternType="solid">
        <fgColor rgb="00DAE8F7"/>
        <bgColor rgb="00DAE8F7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  <fill>
      <patternFill patternType="solid">
        <fgColor rgb="00D9D9D9"/>
        <bgColor rgb="00D9D9D9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  <xf numFmtId="168" fontId="36" fillId="15" borderId="5" applyAlignment="1" pivotButton="0" quotePrefix="0" xfId="0">
      <alignment horizontal="center" vertical="center"/>
    </xf>
    <xf numFmtId="165" fontId="36" fillId="19" borderId="5" applyAlignment="1" pivotButton="0" quotePrefix="0" xfId="0">
      <alignment horizontal="center" vertical="center"/>
    </xf>
    <xf numFmtId="165" fontId="36" fillId="12" borderId="5" applyAlignment="1" pivotButton="0" quotePrefix="0" xfId="0">
      <alignment horizontal="center" vertical="center"/>
    </xf>
    <xf numFmtId="165" fontId="36" fillId="13" borderId="5" applyAlignment="1" pivotButton="0" quotePrefix="0" xfId="0">
      <alignment horizontal="center" vertical="center"/>
    </xf>
    <xf numFmtId="165" fontId="36" fillId="14" borderId="5" applyAlignment="1" pivotButton="0" quotePrefix="0" xfId="0">
      <alignment horizontal="center" vertical="center"/>
    </xf>
    <xf numFmtId="165" fontId="36" fillId="8" borderId="5" applyAlignment="1" pivotButton="0" quotePrefix="0" xfId="0">
      <alignment horizontal="center" vertical="center"/>
    </xf>
    <xf numFmtId="165" fontId="36" fillId="9" borderId="5" applyAlignment="1" pivotButton="0" quotePrefix="0" xfId="0">
      <alignment horizontal="center" vertical="center"/>
    </xf>
    <xf numFmtId="165" fontId="18" fillId="15" borderId="5" applyAlignment="1" pivotButton="0" quotePrefix="0" xfId="0">
      <alignment horizontal="center" vertical="center"/>
    </xf>
    <xf numFmtId="165" fontId="56" fillId="19" borderId="5" applyAlignment="1" pivotButton="0" quotePrefix="0" xfId="0">
      <alignment horizontal="center" vertical="center"/>
    </xf>
    <xf numFmtId="165" fontId="43" fillId="12" borderId="5" applyAlignment="1" pivotButton="0" quotePrefix="0" xfId="0">
      <alignment horizontal="center" vertical="center"/>
    </xf>
    <xf numFmtId="165" fontId="44" fillId="13" borderId="5" applyAlignment="1" pivotButton="0" quotePrefix="0" xfId="0">
      <alignment horizontal="center" vertical="center"/>
    </xf>
    <xf numFmtId="165" fontId="45" fillId="14" borderId="5" applyAlignment="1" pivotButton="0" quotePrefix="0" xfId="0">
      <alignment horizontal="center" vertical="center"/>
    </xf>
    <xf numFmtId="165" fontId="2" fillId="10" borderId="26" applyAlignment="1" pivotButton="0" quotePrefix="0" xfId="0">
      <alignment horizontal="center" vertical="center"/>
    </xf>
    <xf numFmtId="0" fontId="70" fillId="22" borderId="0" applyAlignment="1" pivotButton="0" quotePrefix="0" xfId="0">
      <alignment horizontal="center" vertical="center"/>
    </xf>
    <xf numFmtId="0" fontId="71" fillId="25" borderId="0" applyAlignment="1" pivotButton="0" quotePrefix="0" xfId="0">
      <alignment horizontal="left" vertical="center"/>
    </xf>
    <xf numFmtId="0" fontId="71" fillId="25" borderId="3" applyAlignment="1" pivotButton="0" quotePrefix="0" xfId="0">
      <alignment horizontal="left" vertical="center"/>
    </xf>
    <xf numFmtId="0" fontId="69" fillId="23" borderId="3" applyAlignment="1" pivotButton="0" quotePrefix="0" xfId="0">
      <alignment horizontal="left" vertical="center"/>
    </xf>
    <xf numFmtId="0" fontId="71" fillId="24" borderId="0" applyAlignment="1" pivotButton="0" quotePrefix="0" xfId="0">
      <alignment horizontal="left" vertical="center"/>
    </xf>
    <xf numFmtId="167" fontId="72" fillId="24" borderId="0" applyAlignment="1" pivotButton="0" quotePrefix="0" xfId="0">
      <alignment horizontal="right" vertical="center"/>
    </xf>
    <xf numFmtId="0" fontId="73" fillId="25" borderId="0" applyAlignment="1" pivotButton="0" quotePrefix="0" xfId="0">
      <alignment horizontal="left" vertical="center"/>
    </xf>
    <xf numFmtId="0" fontId="73" fillId="25" borderId="0" applyAlignment="1" pivotButton="0" quotePrefix="0" xfId="0">
      <alignment horizontal="center" vertical="center"/>
    </xf>
    <xf numFmtId="0" fontId="74" fillId="25" borderId="0" applyAlignment="1" pivotButton="0" quotePrefix="0" xfId="0">
      <alignment horizontal="left" vertical="center"/>
    </xf>
    <xf numFmtId="167" fontId="75" fillId="7" borderId="0" applyAlignment="1" pivotButton="0" quotePrefix="0" xfId="0">
      <alignment horizontal="right" vertical="center"/>
    </xf>
    <xf numFmtId="0" fontId="76" fillId="7" borderId="0" applyAlignment="1" pivotButton="0" quotePrefix="0" xfId="0">
      <alignment horizontal="center" vertical="center"/>
    </xf>
    <xf numFmtId="0" fontId="69" fillId="22" borderId="0" applyAlignment="1" pivotButton="0" quotePrefix="0" xfId="0">
      <alignment horizontal="center" vertical="center"/>
    </xf>
    <xf numFmtId="0" fontId="77" fillId="10" borderId="0" applyAlignment="1" pivotButton="0" quotePrefix="0" xfId="0">
      <alignment horizontal="left" vertical="center"/>
    </xf>
    <xf numFmtId="0" fontId="78" fillId="11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9" fillId="11" borderId="0" applyAlignment="1" pivotButton="0" quotePrefix="0" xfId="0">
      <alignment horizontal="right" vertical="center"/>
    </xf>
    <xf numFmtId="0" fontId="80" fillId="9" borderId="15" applyAlignment="1" pivotButton="0" quotePrefix="0" xfId="0">
      <alignment horizontal="left" vertical="center"/>
    </xf>
    <xf numFmtId="0" fontId="81" fillId="10" borderId="5" applyAlignment="1" pivotButton="0" quotePrefix="0" xfId="0">
      <alignment horizontal="center" vertical="center" wrapText="1"/>
    </xf>
    <xf numFmtId="0" fontId="81" fillId="11" borderId="5" applyAlignment="1" pivotButton="0" quotePrefix="0" xfId="0">
      <alignment horizontal="center" vertical="center" wrapText="1"/>
    </xf>
    <xf numFmtId="0" fontId="81" fillId="18" borderId="5" applyAlignment="1" pivotButton="0" quotePrefix="0" xfId="0">
      <alignment horizontal="center" vertical="center" wrapText="1"/>
    </xf>
    <xf numFmtId="167" fontId="82" fillId="15" borderId="16" applyAlignment="1" pivotButton="0" quotePrefix="0" xfId="0">
      <alignment horizontal="center" vertical="center"/>
    </xf>
    <xf numFmtId="167" fontId="82" fillId="19" borderId="20" applyAlignment="1" pivotButton="0" quotePrefix="0" xfId="0">
      <alignment horizontal="center" vertical="center"/>
    </xf>
    <xf numFmtId="167" fontId="82" fillId="12" borderId="19" applyAlignment="1" pivotButton="0" quotePrefix="0" xfId="0">
      <alignment horizontal="center" vertical="center"/>
    </xf>
    <xf numFmtId="168" fontId="83" fillId="15" borderId="5" applyAlignment="1" pivotButton="0" quotePrefix="0" xfId="0">
      <alignment horizontal="center" vertical="center"/>
    </xf>
    <xf numFmtId="165" fontId="83" fillId="19" borderId="5" applyAlignment="1" pivotButton="0" quotePrefix="0" xfId="0">
      <alignment horizontal="center" vertical="center"/>
    </xf>
    <xf numFmtId="165" fontId="83" fillId="12" borderId="5" applyAlignment="1" pivotButton="0" quotePrefix="0" xfId="0">
      <alignment horizontal="center" vertical="center"/>
    </xf>
    <xf numFmtId="0" fontId="69" fillId="23" borderId="5" applyAlignment="1" pivotButton="0" quotePrefix="0" xfId="0">
      <alignment horizontal="center" vertical="center"/>
    </xf>
    <xf numFmtId="0" fontId="69" fillId="26" borderId="5" applyAlignment="1" pivotButton="0" quotePrefix="0" xfId="0">
      <alignment horizontal="center" vertical="center"/>
    </xf>
    <xf numFmtId="0" fontId="69" fillId="23" borderId="16" applyAlignment="1" pivotButton="0" quotePrefix="0" xfId="0">
      <alignment horizontal="center" vertical="center"/>
    </xf>
    <xf numFmtId="0" fontId="69" fillId="23" borderId="18" applyAlignment="1" pivotButton="0" quotePrefix="0" xfId="0">
      <alignment horizontal="center" vertical="center"/>
    </xf>
    <xf numFmtId="0" fontId="69" fillId="26" borderId="21" applyAlignment="1" pivotButton="0" quotePrefix="0" xfId="0">
      <alignment horizontal="center" vertical="center"/>
    </xf>
    <xf numFmtId="165" fontId="69" fillId="23" borderId="5" applyAlignment="1" pivotButton="0" quotePrefix="0" xfId="0">
      <alignment horizontal="center" vertical="center"/>
    </xf>
    <xf numFmtId="165" fontId="69" fillId="26" borderId="5" applyAlignment="1" pivotButton="0" quotePrefix="0" xfId="0">
      <alignment horizontal="center" vertical="center"/>
    </xf>
    <xf numFmtId="0" fontId="79" fillId="22" borderId="10" applyAlignment="1" pivotButton="0" quotePrefix="0" xfId="0">
      <alignment horizontal="left" vertical="center"/>
    </xf>
    <xf numFmtId="0" fontId="69" fillId="23" borderId="26" applyAlignment="1" pivotButton="0" quotePrefix="0" xfId="0">
      <alignment horizontal="center" vertical="center"/>
    </xf>
    <xf numFmtId="0" fontId="84" fillId="24" borderId="5" applyAlignment="1" pivotButton="0" quotePrefix="0" xfId="0">
      <alignment horizontal="left" vertical="center"/>
    </xf>
    <xf numFmtId="167" fontId="85" fillId="24" borderId="5" applyAlignment="1" pivotButton="0" quotePrefix="0" xfId="0">
      <alignment horizontal="right" vertical="center"/>
    </xf>
    <xf numFmtId="165" fontId="86" fillId="24" borderId="5" applyAlignment="1" pivotButton="0" quotePrefix="0" xfId="0">
      <alignment horizontal="center" vertical="center"/>
    </xf>
    <xf numFmtId="0" fontId="87" fillId="24" borderId="5" applyAlignment="1" pivotButton="0" quotePrefix="0" xfId="0">
      <alignment horizontal="left" vertical="center"/>
    </xf>
    <xf numFmtId="0" fontId="84" fillId="27" borderId="5" applyAlignment="1" pivotButton="0" quotePrefix="0" xfId="0">
      <alignment horizontal="left" vertical="center"/>
    </xf>
    <xf numFmtId="167" fontId="85" fillId="27" borderId="5" applyAlignment="1" pivotButton="0" quotePrefix="0" xfId="0">
      <alignment horizontal="right" vertical="center"/>
    </xf>
    <xf numFmtId="165" fontId="86" fillId="27" borderId="5" applyAlignment="1" pivotButton="0" quotePrefix="0" xfId="0">
      <alignment horizontal="center" vertical="center"/>
    </xf>
    <xf numFmtId="0" fontId="87" fillId="27" borderId="5" applyAlignment="1" pivotButton="0" quotePrefix="0" xfId="0">
      <alignment horizontal="left" vertical="center"/>
    </xf>
    <xf numFmtId="0" fontId="84" fillId="28" borderId="5" applyAlignment="1" pivotButton="0" quotePrefix="0" xfId="0">
      <alignment horizontal="left" vertical="center"/>
    </xf>
    <xf numFmtId="167" fontId="85" fillId="28" borderId="5" applyAlignment="1" pivotButton="0" quotePrefix="0" xfId="0">
      <alignment horizontal="right" vertical="center"/>
    </xf>
    <xf numFmtId="165" fontId="86" fillId="28" borderId="5" applyAlignment="1" pivotButton="0" quotePrefix="0" xfId="0">
      <alignment horizontal="center" vertical="center"/>
    </xf>
    <xf numFmtId="0" fontId="87" fillId="28" borderId="5" applyAlignment="1" pivotButton="0" quotePrefix="0" xfId="0">
      <alignment horizontal="left" vertical="center"/>
    </xf>
    <xf numFmtId="0" fontId="84" fillId="29" borderId="5" applyAlignment="1" pivotButton="0" quotePrefix="0" xfId="0">
      <alignment horizontal="left" vertical="center"/>
    </xf>
    <xf numFmtId="167" fontId="85" fillId="29" borderId="5" applyAlignment="1" pivotButton="0" quotePrefix="0" xfId="0">
      <alignment horizontal="right" vertical="center"/>
    </xf>
    <xf numFmtId="165" fontId="86" fillId="29" borderId="5" applyAlignment="1" pivotButton="0" quotePrefix="0" xfId="0">
      <alignment horizontal="center" vertical="center"/>
    </xf>
    <xf numFmtId="0" fontId="87" fillId="29" borderId="5" applyAlignment="1" pivotButton="0" quotePrefix="0" xfId="0">
      <alignment horizontal="left" vertical="center"/>
    </xf>
    <xf numFmtId="0" fontId="88" fillId="30" borderId="26" applyAlignment="1" pivotButton="0" quotePrefix="0" xfId="0">
      <alignment horizontal="left" vertical="center"/>
    </xf>
    <xf numFmtId="167" fontId="89" fillId="30" borderId="26" applyAlignment="1" pivotButton="0" quotePrefix="0" xfId="0">
      <alignment horizontal="right" vertical="center"/>
    </xf>
    <xf numFmtId="165" fontId="90" fillId="30" borderId="26" applyAlignment="1" pivotButton="0" quotePrefix="0" xfId="0">
      <alignment horizontal="center" vertical="center"/>
    </xf>
    <xf numFmtId="0" fontId="87" fillId="30" borderId="26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48" customHeight="1">
      <c r="A1" s="289" t="inlineStr">
        <is>
          <t>PROTEG-RT MUTUALIDAD</t>
        </is>
      </c>
    </row>
    <row r="2" ht="32" customHeight="1">
      <c r="A2" s="290" t="inlineStr">
        <is>
          <t>DASHBOARD — REPORTE DE COBRANZA JUNTA MENSUAL</t>
        </is>
      </c>
    </row>
    <row r="3" ht="26" customHeight="1">
      <c r="A3" s="291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8" customHeight="1">
      <c r="A5" s="292" t="inlineStr">
        <is>
          <t>MES:</t>
        </is>
      </c>
      <c r="C5" s="293" t="inlineStr">
        <is>
          <t>FEBRERO</t>
        </is>
      </c>
      <c r="D5" s="162" t="n"/>
      <c r="E5" s="90" t="inlineStr">
        <is>
          <t>AÑO:</t>
        </is>
      </c>
      <c r="G5" s="293" t="inlineStr">
        <is>
          <t>← Cambia el mes aquí</t>
        </is>
      </c>
      <c r="H5" s="162" t="n"/>
    </row>
    <row r="7" ht="55" customHeight="1">
      <c r="A7" s="294" t="inlineStr">
        <is>
          <t>COBRANZA
TOTAL GENERAL</t>
        </is>
      </c>
      <c r="B7" s="45" t="n"/>
      <c r="C7" s="46" t="n"/>
      <c r="D7" s="295" t="inlineStr">
        <is>
          <t>COBRANZA
RECUPERADA</t>
        </is>
      </c>
      <c r="E7" s="45" t="n"/>
      <c r="F7" s="46" t="n"/>
      <c r="G7" s="296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50" customHeight="1">
      <c r="A8" s="297">
        <f>INDIRECT("'ESTADISTICA 2026'!B"&amp;CHOOSE(MATCH($C$5,['ENERO', 'FEBRERO', 'MARZO', 'ABRIL', 'MAYO', 'JUNIO', 'JULIO', 'AGOSTO', 'SEPTIEMBRE', 'OCTUBRE', 'NOVIEMBRE', 'DICIEMBRE'],0),58,132,206,280,354,428,502,576,650,724,798,872))</f>
        <v/>
      </c>
      <c r="B8" s="163" t="n"/>
      <c r="C8" s="164" t="n"/>
      <c r="D8" s="298">
        <f>INDIRECT("'ESTADISTICA 2026'!B"&amp;CHOOSE(MATCH($C$5,['ENERO', 'FEBRERO', 'MARZO', 'ABRIL', 'MAYO', 'JUNIO', 'JULIO', 'AGOSTO', 'SEPTIEMBRE', 'OCTUBRE', 'NOVIEMBRE', 'DICIEMBRE'],0),49,123,197,271,345,419,493,567,641,715,789,863))</f>
        <v/>
      </c>
      <c r="E8" s="171" t="n"/>
      <c r="F8" s="172" t="n"/>
      <c r="G8" s="299">
        <f>INDIRECT("'ESTADISTICA 2026'!B"&amp;CHOOSE(MATCH($C$5,['ENERO', 'FEBRERO', 'MARZO', 'ABRIL', 'MAYO', 'JUNIO', 'JULIO', 'AGOSTO', 'SEPTIEMBRE', 'OCTUBRE', 'NOVIEMBRE', 'DICIEMBRE'],0),40,114,188,262,336,410,484,558,632,706,780,854))</f>
        <v/>
      </c>
      <c r="H8" s="169" t="n"/>
      <c r="I8" s="170" t="n"/>
      <c r="J8" s="224">
        <f>INDIRECT("'ESTADISTICA 2026'!B"&amp;CHOOSE(MATCH($C$5,['ENERO', 'FEBRERO', 'MARZO', 'ABRIL', 'MAYO', 'JUNIO', 'JULIO', 'AGOSTO', 'SEPTIEMBRE', 'OCTUBRE', 'NOVIEMBRE', 'DICIEMBRE'],0),20,96,170,244,318,392,466,540,614,688,762,836))</f>
        <v/>
      </c>
      <c r="K8" s="165" t="n"/>
      <c r="L8" s="166" t="n"/>
      <c r="M8" s="38" t="n"/>
      <c r="N8" s="38" t="n"/>
    </row>
    <row r="9" ht="22" customHeight="1">
      <c r="A9" s="300">
        <f>INDIRECT("'ESTADISTICA 2026'!B"&amp;CHOOSE(MATCH($C$5,['ENERO', 'FEBRERO', 'MARZO', 'ABRIL', 'MAYO', 'JUNIO', 'JULIO', 'AGOSTO', 'SEPTIEMBRE', 'OCTUBRE', 'NOVIEMBRE', 'DICIEMBRE'],0),20,96,170,244,318,392,466,540,614,688,762,836))/=INDIRECT("'ESTADISTICA 2026'!B"&amp;CHOOSE(MATCH($C$5,['ENERO', 'FEBRERO', 'MARZO', 'ABRIL', 'MAYO', 'JUNIO', 'JULIO', 'AGOSTO', 'SEPTIEMBRE', 'OCTUBRE', 'NOVIEMBRE', 'DICIEMBRE'],0),58,132,206,280,354,428,502,576,650,724,798,872))</f>
        <v/>
      </c>
      <c r="B9" s="45" t="n"/>
      <c r="C9" s="46" t="n"/>
      <c r="D9" s="301">
        <f>INDIRECT("'ESTADISTICA 2026'!B"&amp;CHOOSE(MATCH($C$5,['ENERO', 'FEBRERO', 'MARZO', 'ABRIL', 'MAYO', 'JUNIO', 'JULIO', 'AGOSTO', 'SEPTIEMBRE', 'OCTUBRE', 'NOVIEMBRE', 'DICIEMBRE'],0),49,123,197,271,345,419,493,567,641,715,789,863))/=INDIRECT("'ESTADISTICA 2026'!B"&amp;CHOOSE(MATCH($C$5,['ENERO', 'FEBRERO', 'MARZO', 'ABRIL', 'MAYO', 'JUNIO', 'JULIO', 'AGOSTO', 'SEPTIEMBRE', 'OCTUBRE', 'NOVIEMBRE', 'DICIEMBRE'],0),58,132,206,280,354,428,502,576,650,724,798,872))</f>
        <v/>
      </c>
      <c r="E9" s="45" t="n"/>
      <c r="F9" s="46" t="n"/>
      <c r="G9" s="302">
        <f>INDIRECT("'ESTADISTICA 2026'!B"&amp;CHOOSE(MATCH($C$5,['ENERO', 'FEBRERO', 'MARZO', 'ABRIL', 'MAYO', 'JUNIO', 'JULIO', 'AGOSTO', 'SEPTIEMBRE', 'OCTUBRE', 'NOVIEMBRE', 'DICIEMBRE'],0),40,114,188,262,336,410,484,558,632,706,780,854))/=INDIRECT("'ESTADISTICA 2026'!B"&amp;CHOOSE(MATCH($C$5,['ENERO', 'FEBRERO', 'MARZO', 'ABRIL', 'MAYO', 'JUNIO', 'JULIO', 'AGOSTO', 'SEPTIEMBRE', 'OCTUBRE', 'NOVIEMBRE', 'DICIEMBRE'],0),58,132,206,280,354,428,502,576,650,724,798,872))</f>
        <v/>
      </c>
      <c r="H9" s="45" t="n"/>
      <c r="I9" s="46" t="n"/>
      <c r="J9" s="267">
        <f>INDIRECT("'ESTADISTICA 2026'!B"&amp;CHOOSE(MATCH($C$5,['ENERO', 'FEBRERO', 'MARZO', 'ABRIL', 'MAYO', 'JUNIO', 'JULIO', 'AGOSTO', 'SEPTIEMBRE', 'OCTUBRE', 'NOVIEMBRE', 'DICIEMBRE'],0),31,105,179,253,327,401,475,549,623,697,771,845))/=INDIRECT("'ESTADISTICA 2026'!B"&amp;CHOOSE(MATCH($C$5,['ENERO', 'FEBRERO', 'MARZO', 'ABRIL', 'MAYO', 'JUNIO', 'JULIO', 'AGOSTO', 'SEPTIEMBRE', 'OCTUBRE', 'NOVIEMBRE', 'DICIEMBRE'],0),58,132,206,280,354,428,502,576,650,724,798,872))</f>
        <v/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32" customHeight="1">
      <c r="A11" s="303" t="inlineStr">
        <is>
          <t>COBRANZA
CORRIENTE</t>
        </is>
      </c>
      <c r="B11" s="45" t="n"/>
      <c r="C11" s="46" t="n"/>
      <c r="D11" s="303" t="inlineStr">
        <is>
          <t>COBRANZA
VENCIDA</t>
        </is>
      </c>
      <c r="E11" s="45" t="n"/>
      <c r="F11" s="46" t="n"/>
      <c r="G11" s="304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2" customHeight="1">
      <c r="A12" s="305">
        <f>INDIRECT("'ESTADISTICA 2026'!B"&amp;CHOOSE(MATCH($C$5,['ENERO', 'FEBRERO', 'MARZO', 'ABRIL', 'MAYO', 'JUNIO', 'JULIO', 'AGOSTO', 'SEPTIEMBRE', 'OCTUBRE', 'NOVIEMBRE', 'DICIEMBRE'],0),11,87,161,235,309,383,457,531,605,679,753,827))</f>
        <v/>
      </c>
      <c r="B12" s="163" t="n"/>
      <c r="C12" s="164" t="n"/>
      <c r="D12" s="306">
        <f>INDIRECT("'ESTADISTICA 2026'!B"&amp;CHOOSE(MATCH($C$5,['ENERO', 'FEBRERO', 'MARZO', 'ABRIL', 'MAYO', 'JUNIO', 'JULIO', 'AGOSTO', 'SEPTIEMBRE', 'OCTUBRE', 'NOVIEMBRE', 'DICIEMBRE'],0),31,105,179,253,327,401,475,549,623,697,771,845))</f>
        <v/>
      </c>
      <c r="E12" s="167" t="n"/>
      <c r="F12" s="168" t="n"/>
      <c r="G12" s="307">
        <f>INDIRECT("'ESTADISTICA 2026'!B"&amp;CHOOSE(MATCH($C$5,['ENERO', 'FEBRERO', 'MARZO', 'ABRIL', 'MAYO', 'JUNIO', 'JULIO', 'AGOSTO', 'SEPTIEMBRE', 'OCTUBRE', 'NOVIEMBRE', 'DICIEMBRE'],0),67,141,215,289,363,437,511,585,659,733,807,881))</f>
        <v/>
      </c>
      <c r="H12" s="173" t="n"/>
      <c r="I12" s="174" t="n"/>
      <c r="J12" s="234">
        <f>INDIRECT("'ESTADISTICA 2026'!B"&amp;CHOOSE(MATCH($C$5,['ENERO', 'FEBRERO', 'MARZO', 'ABRIL', 'MAYO', 'JUNIO', 'JULIO', 'AGOSTO', 'SEPTIEMBRE', 'OCTUBRE', 'NOVIEMBRE', 'DICIEMBRE'],0),76,150,224,298,372,446,520,594,668,742,816,890))</f>
        <v/>
      </c>
      <c r="K12" s="175" t="n"/>
      <c r="L12" s="162" t="n"/>
      <c r="M12" s="38" t="n"/>
      <c r="N12" s="38" t="n"/>
    </row>
    <row r="13" ht="32" customHeight="1">
      <c r="A13" s="303">
        <f>INDIRECT("'ESTADISTICA 2026'!B"&amp;CHOOSE(MATCH($C$5,['ENERO', 'FEBRERO', 'MARZO', 'ABRIL', 'MAYO', 'JUNIO', 'JULIO', 'AGOSTO', 'SEPTIEMBRE', 'OCTUBRE', 'NOVIEMBRE', 'DICIEMBRE'],0),11,87,161,235,309,383,457,531,605,679,753,827))/=INDIRECT("'ESTADISTICA 2026'!B"&amp;CHOOSE(MATCH($C$5,['ENERO', 'FEBRERO', 'MARZO', 'ABRIL', 'MAYO', 'JUNIO', 'JULIO', 'AGOSTO', 'SEPTIEMBRE', 'OCTUBRE', 'NOVIEMBRE', 'DICIEMBRE'],0),58,132,206,280,354,428,502,576,650,724,798,872))</f>
        <v/>
      </c>
      <c r="B13" s="45" t="n"/>
      <c r="C13" s="46" t="n"/>
      <c r="D13" s="308">
        <f>INDIRECT("'ESTADISTICA 2026'!B"&amp;CHOOSE(MATCH($C$5,['ENERO', 'FEBRERO', 'MARZO', 'ABRIL', 'MAYO', 'JUNIO', 'JULIO', 'AGOSTO', 'SEPTIEMBRE', 'OCTUBRE', 'NOVIEMBRE', 'DICIEMBRE'],0),31,105,179,253,327,401,475,549,623,697,771,845))/=INDIRECT("'ESTADISTICA 2026'!B"&amp;CHOOSE(MATCH($C$5,['ENERO', 'FEBRERO', 'MARZO', 'ABRIL', 'MAYO', 'JUNIO', 'JULIO', 'AGOSTO', 'SEPTIEMBRE', 'OCTUBRE', 'NOVIEMBRE', 'DICIEMBRE'],0),58,132,206,280,354,428,502,576,650,724,798,872))</f>
        <v/>
      </c>
      <c r="E13" s="45" t="n"/>
      <c r="F13" s="46" t="n"/>
      <c r="G13" s="309">
        <f>INDIRECT("'ESTADISTICA 2026'!B"&amp;CHOOSE(MATCH($C$5,['ENERO', 'FEBRERO', 'MARZO', 'ABRIL', 'MAYO', 'JUNIO', 'JULIO', 'AGOSTO', 'SEPTIEMBRE', 'OCTUBRE', 'NOVIEMBRE', 'DICIEMBRE'],0),67,141,215,289,363,437,511,585,659,733,807,881))/=INDIRECT("'ESTADISTICA 2026'!B"&amp;CHOOSE(MATCH($C$5,['ENERO', 'FEBRERO', 'MARZO', 'ABRIL', 'MAYO', 'JUNIO', 'JULIO', 'AGOSTO', 'SEPTIEMBRE', 'OCTUBRE', 'NOVIEMBRE', 'DICIEMBRE'],0),58,132,206,280,354,428,502,576,650,724,798,872))</f>
        <v/>
      </c>
      <c r="H13" s="45" t="n"/>
      <c r="I13" s="46" t="n"/>
      <c r="J13" s="270">
        <f>INDIRECT("'ESTADISTICA 2026'!B"&amp;CHOOSE(MATCH($C$5,['ENERO', 'FEBRERO', 'MARZO', 'ABRIL', 'MAYO', 'JUNIO', 'JULIO', 'AGOSTO', 'SEPTIEMBRE', 'OCTUBRE', 'NOVIEMBRE', 'DICIEMBRE'],0),76,150,224,298,372,446,520,594,668,742,816,890))/=INDIRECT("'ESTADISTICA 2026'!B"&amp;CHOOSE(MATCH($C$5,['ENERO', 'FEBRERO', 'MARZO', 'ABRIL', 'MAYO', 'JUNIO', 'JULIO', 'AGOSTO', 'SEPTIEMBRE', 'OCTUBRE', 'NOVIEMBRE', 'DICIEMBRE'],0),58,132,206,280,354,428,502,576,650,724,798,872))</f>
        <v/>
      </c>
      <c r="K13" s="45" t="n"/>
      <c r="L13" s="46" t="n"/>
      <c r="M13" s="38" t="n"/>
      <c r="N13" s="38" t="n"/>
    </row>
    <row r="14" ht="32" customHeight="1">
      <c r="A14" s="303" t="n"/>
      <c r="B14" s="38" t="n"/>
      <c r="C14" s="38" t="n"/>
      <c r="D14" s="303" t="n"/>
      <c r="E14" s="38" t="n"/>
      <c r="F14" s="38" t="n"/>
      <c r="G14" s="304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310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311" t="inlineStr">
        <is>
          <t>CONCEPTO</t>
        </is>
      </c>
      <c r="B17" s="311" t="inlineStr">
        <is>
          <t>TOTAL ($)</t>
        </is>
      </c>
      <c r="C17" s="38" t="n"/>
      <c r="D17" s="311" t="inlineStr">
        <is>
          <t>% PARTICIP.</t>
        </is>
      </c>
      <c r="E17" s="38" t="n"/>
      <c r="F17" s="311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312" t="inlineStr">
        <is>
          <t>COBRANZA TOTAL GENERAL</t>
        </is>
      </c>
      <c r="B18" s="313">
        <f>INDIRECT("'ESTADISTICA 2026'!B"&amp;CHOOSE(MATCH($C$5,['ENERO', 'FEBRERO', 'MARZO', 'ABRIL', 'MAYO', 'JUNIO', 'JULIO', 'AGOSTO', 'SEPTIEMBRE', 'OCTUBRE', 'NOVIEMBRE', 'DICIEMBRE'],0),58,132,206,280,354,428,502,576,650,724,798,872))</f>
        <v/>
      </c>
      <c r="C18" s="38" t="n"/>
      <c r="D18" s="314">
        <f>B18/B23</f>
        <v/>
      </c>
      <c r="E18" s="38" t="n"/>
      <c r="F18" s="315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316" t="inlineStr">
        <is>
          <t>COBRANZA RECUPERADA</t>
        </is>
      </c>
      <c r="B19" s="317">
        <f>INDIRECT("'ESTADISTICA 2026'!B"&amp;CHOOSE(MATCH($C$5,['ENERO', 'FEBRERO', 'MARZO', 'ABRIL', 'MAYO', 'JUNIO', 'JULIO', 'AGOSTO', 'SEPTIEMBRE', 'OCTUBRE', 'NOVIEMBRE', 'DICIEMBRE'],0),49,123,197,271,345,419,493,567,641,715,789,863))</f>
        <v/>
      </c>
      <c r="C19" s="38" t="n"/>
      <c r="D19" s="318">
        <f>B19/B23</f>
        <v/>
      </c>
      <c r="E19" s="38" t="n"/>
      <c r="F19" s="319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320" t="inlineStr">
        <is>
          <t>COBRANZA EFECTIVA</t>
        </is>
      </c>
      <c r="B20" s="321">
        <f>INDIRECT("'ESTADISTICA 2026'!B"&amp;CHOOSE(MATCH($C$5,['ENERO', 'FEBRERO', 'MARZO', 'ABRIL', 'MAYO', 'JUNIO', 'JULIO', 'AGOSTO', 'SEPTIEMBRE', 'OCTUBRE', 'NOVIEMBRE', 'DICIEMBRE'],0),40,114,188,262,336,410,484,558,632,706,780,854))</f>
        <v/>
      </c>
      <c r="C20" s="38" t="n"/>
      <c r="D20" s="322">
        <f>B20/B23</f>
        <v/>
      </c>
      <c r="E20" s="38" t="n"/>
      <c r="F20" s="323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324" t="inlineStr">
        <is>
          <t>CANCELACIONES</t>
        </is>
      </c>
      <c r="B21" s="325">
        <f>INDIRECT("'ESTADISTICA 2026'!B"&amp;CHOOSE(MATCH($C$5,['ENERO', 'FEBRERO', 'MARZO', 'ABRIL', 'MAYO', 'JUNIO', 'JULIO', 'AGOSTO', 'SEPTIEMBRE', 'OCTUBRE', 'NOVIEMBRE', 'DICIEMBRE'],0),20,96,170,244,318,392,466,540,614,688,762,836))</f>
        <v/>
      </c>
      <c r="C21" s="38" t="n"/>
      <c r="D21" s="326">
        <f>B21/B23</f>
        <v/>
      </c>
      <c r="E21" s="38" t="n"/>
      <c r="F21" s="327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324" t="inlineStr">
        <is>
          <t>COBRANZA VENCIDA</t>
        </is>
      </c>
      <c r="B22" s="325">
        <f>INDIRECT("'ESTADISTICA 2026'!B"&amp;CHOOSE(MATCH($C$5,['ENERO', 'FEBRERO', 'MARZO', 'ABRIL', 'MAYO', 'JUNIO', 'JULIO', 'AGOSTO', 'SEPTIEMBRE', 'OCTUBRE', 'NOVIEMBRE', 'DICIEMBRE'],0),31,105,179,253,327,401,475,549,623,697,771,845))</f>
        <v/>
      </c>
      <c r="C22" s="38" t="n"/>
      <c r="D22" s="326">
        <f>B22/B23</f>
        <v/>
      </c>
      <c r="E22" s="38" t="n"/>
      <c r="F22" s="327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4" customHeight="1">
      <c r="A23" s="328" t="inlineStr">
        <is>
          <t>TOTAL ACUMULADO</t>
        </is>
      </c>
      <c r="B23" s="329">
        <f>B18+B19+B20+B21+B22</f>
        <v/>
      </c>
      <c r="C23" s="130" t="n"/>
      <c r="D23" s="330">
        <f>B23/B23</f>
        <v/>
      </c>
      <c r="E23" s="130" t="n"/>
      <c r="F23" s="331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 JOSE</t>
        </is>
      </c>
      <c r="K27" s="149" t="n">
        <v>70796.5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JORGE</t>
        </is>
      </c>
      <c r="K28" s="155" t="n">
        <v>40169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3er</t>
        </is>
      </c>
      <c r="J29" s="148" t="inlineStr">
        <is>
          <t>EDGAR</t>
        </is>
      </c>
      <c r="K29" s="149" t="n">
        <v>35046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FRANCISCO</t>
        </is>
      </c>
      <c r="K30" s="155" t="n">
        <v>34647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DEPOSITO</t>
        </is>
      </c>
      <c r="K31" s="149" t="n">
        <v>24103.81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0">
      <c r="A40" t="inlineStr">
        <is>
          <t>FEB 2026</t>
        </is>
      </c>
      <c r="B40" t="n">
        <v>1110578</v>
      </c>
      <c r="C40" t="n">
        <v>251487.31</v>
      </c>
      <c r="D40" t="n">
        <v>94027</v>
      </c>
      <c r="E40" t="n">
        <v>1251614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  <row r="50">
      <c r="A50" t="inlineStr">
        <is>
          <t>MES</t>
        </is>
      </c>
      <c r="B50" t="inlineStr">
        <is>
          <t>DATA_ROW</t>
        </is>
      </c>
    </row>
    <row r="51">
      <c r="A51" t="inlineStr">
        <is>
          <t>ENERO</t>
        </is>
      </c>
      <c r="B51" t="n">
        <v>5</v>
      </c>
    </row>
    <row r="52">
      <c r="A52" t="inlineStr">
        <is>
          <t>FEBRERO</t>
        </is>
      </c>
      <c r="B52" t="n">
        <v>79</v>
      </c>
    </row>
    <row r="53">
      <c r="A53" t="inlineStr">
        <is>
          <t>MARZO</t>
        </is>
      </c>
      <c r="B53" t="n">
        <v>153</v>
      </c>
    </row>
    <row r="54">
      <c r="A54" t="inlineStr">
        <is>
          <t>ABRIL</t>
        </is>
      </c>
      <c r="B54" t="n">
        <v>227</v>
      </c>
    </row>
    <row r="55">
      <c r="A55" t="inlineStr">
        <is>
          <t>MAYO</t>
        </is>
      </c>
      <c r="B55" t="n">
        <v>301</v>
      </c>
    </row>
    <row r="56">
      <c r="A56" t="inlineStr">
        <is>
          <t>JUNIO</t>
        </is>
      </c>
      <c r="B56" t="n">
        <v>375</v>
      </c>
    </row>
    <row r="57">
      <c r="A57" t="inlineStr">
        <is>
          <t>JULIO</t>
        </is>
      </c>
      <c r="B57" t="n">
        <v>449</v>
      </c>
    </row>
    <row r="58">
      <c r="A58" t="inlineStr">
        <is>
          <t>AGOSTO</t>
        </is>
      </c>
      <c r="B58" t="n">
        <v>523</v>
      </c>
    </row>
    <row r="59">
      <c r="A59" t="inlineStr">
        <is>
          <t>SEPTIEMBRE</t>
        </is>
      </c>
      <c r="B59" t="n">
        <v>597</v>
      </c>
    </row>
    <row r="60">
      <c r="A60" t="inlineStr">
        <is>
          <t>OCTUBRE</t>
        </is>
      </c>
      <c r="B60" t="n">
        <v>671</v>
      </c>
    </row>
    <row r="61">
      <c r="A61" t="inlineStr">
        <is>
          <t>NOVIEMBRE</t>
        </is>
      </c>
      <c r="B61" t="n">
        <v>745</v>
      </c>
    </row>
    <row r="62">
      <c r="A62" t="inlineStr">
        <is>
          <t>DICIEMBRE</t>
        </is>
      </c>
      <c r="B62" t="n">
        <v>819</v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dataValidations count="1">
    <dataValidation sqref="C5" showDropDown="0" showInputMessage="0" showErrorMessage="0" allowBlank="0" errorTitle="Mes inválido" error="Selecciona un mes de la lista" type="list">
      <formula1>"ENERO,FEBRERO,MARZO,ABRIL,MAYO,JUNIO,JULIO,AGOSTO,SEPTIEMBRE,OCTUBRE,NOVIEMBRE,DICIEMBRE"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 ht="18" customHeight="1">
      <c r="A1" s="1" t="inlineStr">
        <is>
          <t>PROTEG-RT MUTUALIDAD</t>
        </is>
      </c>
    </row>
    <row r="2" ht="24" customHeight="1">
      <c r="A2" s="277" t="inlineStr">
        <is>
          <t>REPORTE DE COBRANZA — JUNTA MENSUAL</t>
        </is>
      </c>
    </row>
    <row r="3" ht="18" customHeight="1">
      <c r="A3" s="3" t="inlineStr">
        <is>
          <t>AÑO 2026</t>
        </is>
      </c>
    </row>
    <row r="4" ht="18" customHeight="1"/>
    <row r="5" ht="18" customHeight="1">
      <c r="A5" s="4" t="inlineStr">
        <is>
          <t>ENERO 2026</t>
        </is>
      </c>
    </row>
    <row r="6" ht="1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 ht="18" customHeight="1">
      <c r="A7" s="35" t="inlineStr">
        <is>
          <t>DATOS GENERALES</t>
        </is>
      </c>
    </row>
    <row r="8" ht="18" customHeight="1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 ht="18" customHeight="1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 ht="18" customHeight="1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18" customHeight="1">
      <c r="A11" s="40" t="inlineStr">
        <is>
          <t>Total</t>
        </is>
      </c>
      <c r="B11" s="260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 ht="18" customHeight="1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18" customHeight="1">
      <c r="A13" s="240" t="n"/>
      <c r="B13" s="45" t="n"/>
      <c r="C13" s="45" t="inlineStr">
        <is>
          <t>V1</t>
        </is>
      </c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inlineStr">
        <is>
          <t>V6</t>
        </is>
      </c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inlineStr">
        <is>
          <t>V38</t>
        </is>
      </c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inlineStr">
        <is>
          <t>V39</t>
        </is>
      </c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inlineStr">
        <is>
          <t>V27</t>
        </is>
      </c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18" customHeight="1">
      <c r="A20" s="255" t="n"/>
      <c r="B20" s="256" t="n">
        <v>127110</v>
      </c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 ht="18" customHeight="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V1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inlineStr">
        <is>
          <t>V38</t>
        </is>
      </c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inlineStr">
        <is>
          <t>V6</t>
        </is>
      </c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inlineStr">
        <is>
          <t>V56</t>
        </is>
      </c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inlineStr">
        <is>
          <t>V84</t>
        </is>
      </c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18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 ht="18" customHeight="1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18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inlineStr">
        <is>
          <t>EDGAR</t>
        </is>
      </c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inlineStr">
        <is>
          <t>DEPOSITO</t>
        </is>
      </c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inlineStr">
        <is>
          <t>JORGE</t>
        </is>
      </c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inlineStr">
        <is>
          <t>FRANCISCO</t>
        </is>
      </c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18" customHeight="1"/>
    <row r="39" ht="18" customHeight="1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18" customHeight="1">
      <c r="A40" s="16" t="inlineStr">
        <is>
          <t>Total</t>
        </is>
      </c>
      <c r="B40" s="26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inlineStr">
        <is>
          <t>DEPOSITO</t>
        </is>
      </c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inlineStr">
        <is>
          <t>V1</t>
        </is>
      </c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inlineStr">
        <is>
          <t>JORGE</t>
        </is>
      </c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inlineStr">
        <is>
          <t>FRANCISCO</t>
        </is>
      </c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18" customHeight="1"/>
    <row r="48" ht="18" customHeight="1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18" customHeight="1">
      <c r="A49" s="8" t="inlineStr">
        <is>
          <t>Total</t>
        </is>
      </c>
      <c r="B49" s="261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V39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inlineStr">
        <is>
          <t>JORGE</t>
        </is>
      </c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inlineStr">
        <is>
          <t>EDGAR</t>
        </is>
      </c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inlineStr">
        <is>
          <t>FRANCISCO</t>
        </is>
      </c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inlineStr">
        <is>
          <t>DEPOSITO</t>
        </is>
      </c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18" customHeight="1"/>
    <row r="57" ht="18" customHeight="1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18" customHeight="1">
      <c r="A58" s="16" t="inlineStr">
        <is>
          <t>Total</t>
        </is>
      </c>
      <c r="B58" s="26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inlineStr">
        <is>
          <t>DEPOSITO</t>
        </is>
      </c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inlineStr">
        <is>
          <t>JORGE</t>
        </is>
      </c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inlineStr">
        <is>
          <t>V1</t>
        </is>
      </c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inlineStr">
        <is>
          <t>FRANCISCO</t>
        </is>
      </c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18" customHeight="1"/>
    <row r="66" ht="18" customHeight="1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18" customHeight="1">
      <c r="A67" s="8" t="inlineStr">
        <is>
          <t>Total</t>
        </is>
      </c>
      <c r="B67" s="261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18" customHeight="1"/>
    <row r="75" ht="18" customHeight="1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 ht="18" customHeight="1">
      <c r="A76" s="19" t="inlineStr">
        <is>
          <t>Proyeccion FEBRERO</t>
        </is>
      </c>
      <c r="B76" s="263" t="n">
        <v>1158184</v>
      </c>
    </row>
    <row r="77" ht="18" customHeight="1"/>
    <row r="78" ht="18" customHeight="1"/>
    <row r="79" ht="24" customHeight="1">
      <c r="A79" s="277" t="inlineStr">
        <is>
          <t>FEBRERO 2026</t>
        </is>
      </c>
    </row>
    <row r="80" ht="1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 ht="18" customHeight="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 ht="18" customHeight="1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 ht="18" customHeight="1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 ht="18" customHeight="1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18" customHeight="1"/>
    <row r="86" ht="18" customHeight="1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18" customHeight="1">
      <c r="A87" s="8" t="inlineStr">
        <is>
          <t>Total</t>
        </is>
      </c>
      <c r="B87" s="11" t="n">
        <v>1251614</v>
      </c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>
        <v>207793</v>
      </c>
      <c r="C89" s="15" t="inlineStr">
        <is>
          <t>V1</t>
        </is>
      </c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>
        <v>198234</v>
      </c>
      <c r="C90" s="15" t="n"/>
      <c r="D90" s="15" t="inlineStr">
        <is>
          <t>V6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>
        <v>156891</v>
      </c>
      <c r="C91" s="15" t="n"/>
      <c r="D91" s="15" t="n"/>
      <c r="E91" s="15" t="inlineStr">
        <is>
          <t>V39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>
        <v>142567</v>
      </c>
      <c r="C92" s="15" t="n"/>
      <c r="D92" s="15" t="n"/>
      <c r="E92" s="15" t="n"/>
      <c r="F92" s="15" t="inlineStr">
        <is>
          <t>V38</t>
        </is>
      </c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>
        <v>98765</v>
      </c>
      <c r="C93" s="15" t="n"/>
      <c r="D93" s="15" t="n"/>
      <c r="E93" s="15" t="n"/>
      <c r="F93" s="15" t="n"/>
      <c r="G93" s="15" t="inlineStr">
        <is>
          <t>V27</t>
        </is>
      </c>
      <c r="H93" s="15" t="n"/>
      <c r="I93" s="15" t="n"/>
      <c r="J93" s="15" t="n"/>
      <c r="K93" s="15" t="n"/>
      <c r="L93" s="15" t="n"/>
      <c r="M93" s="15" t="n"/>
      <c r="N93" s="15" t="n"/>
    </row>
    <row r="94" ht="18" customHeight="1"/>
    <row r="95" ht="18" customHeight="1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18" customHeight="1">
      <c r="A96" s="16" t="inlineStr">
        <is>
          <t>Total</t>
        </is>
      </c>
      <c r="B96" s="17" t="n">
        <v>127110</v>
      </c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>
        <v>21035</v>
      </c>
      <c r="C98" s="15" t="inlineStr">
        <is>
          <t>V38</t>
        </is>
      </c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>
        <v>17664</v>
      </c>
      <c r="C99" s="15" t="n"/>
      <c r="D99" s="15" t="inlineStr">
        <is>
          <t>V56</t>
        </is>
      </c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>
        <v>15924</v>
      </c>
      <c r="C100" s="15" t="n"/>
      <c r="D100" s="15" t="n"/>
      <c r="E100" s="15" t="inlineStr">
        <is>
          <t>V6</t>
        </is>
      </c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>
        <v>14374</v>
      </c>
      <c r="C101" s="15" t="n"/>
      <c r="D101" s="15" t="n"/>
      <c r="E101" s="15" t="n"/>
      <c r="F101" s="15" t="inlineStr">
        <is>
          <t>V84</t>
        </is>
      </c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>
        <v>12431</v>
      </c>
      <c r="C102" s="15" t="n"/>
      <c r="D102" s="15" t="n"/>
      <c r="E102" s="15" t="n"/>
      <c r="F102" s="15" t="n"/>
      <c r="G102" s="15" t="inlineStr">
        <is>
          <t>V39</t>
        </is>
      </c>
      <c r="H102" s="15" t="n"/>
      <c r="I102" s="15" t="n"/>
      <c r="J102" s="15" t="n"/>
      <c r="K102" s="15" t="n"/>
      <c r="L102" s="15" t="n"/>
      <c r="M102" s="15" t="n"/>
      <c r="N102" s="15" t="n"/>
    </row>
    <row r="103" ht="18" customHeight="1"/>
    <row r="104" ht="18" customHeight="1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18" customHeight="1">
      <c r="A105" s="8" t="inlineStr">
        <is>
          <t>Total</t>
        </is>
      </c>
      <c r="B105" s="11" t="n">
        <v>251487.31</v>
      </c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>
        <v>70796.5</v>
      </c>
      <c r="C107" s="15" t="inlineStr">
        <is>
          <t>V39 JOSE</t>
        </is>
      </c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>
        <v>0.2815</v>
      </c>
      <c r="N107" s="15" t="n">
        <v>0.2815</v>
      </c>
    </row>
    <row r="108" ht="18" customHeight="1">
      <c r="A108" s="14" t="inlineStr">
        <is>
          <t>2o lugar</t>
        </is>
      </c>
      <c r="B108" s="15" t="n">
        <v>40169</v>
      </c>
      <c r="C108" s="15" t="n"/>
      <c r="D108" s="15" t="inlineStr">
        <is>
          <t>JORGE</t>
        </is>
      </c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>
        <v>0.1597</v>
      </c>
      <c r="N108" s="15" t="n">
        <v>0.4412</v>
      </c>
    </row>
    <row r="109" ht="18" customHeight="1">
      <c r="A109" s="14" t="inlineStr">
        <is>
          <t>3er lugar</t>
        </is>
      </c>
      <c r="B109" s="15" t="n">
        <v>35046</v>
      </c>
      <c r="C109" s="15" t="n"/>
      <c r="D109" s="15" t="n"/>
      <c r="E109" s="15" t="inlineStr">
        <is>
          <t>EDGAR</t>
        </is>
      </c>
      <c r="F109" s="15" t="n"/>
      <c r="G109" s="15" t="n"/>
      <c r="H109" s="15" t="n">
        <v>35046</v>
      </c>
      <c r="I109" s="15" t="n"/>
      <c r="J109" s="15" t="n"/>
      <c r="K109" s="15" t="n"/>
      <c r="L109" s="15" t="n"/>
      <c r="M109" s="15" t="n">
        <v>0.1394</v>
      </c>
      <c r="N109" s="15" t="n">
        <v>0.5806</v>
      </c>
    </row>
    <row r="110" ht="18" customHeight="1">
      <c r="A110" s="14" t="inlineStr">
        <is>
          <t>4o lugar</t>
        </is>
      </c>
      <c r="B110" s="15" t="n">
        <v>34647</v>
      </c>
      <c r="C110" s="15" t="n"/>
      <c r="D110" s="15" t="n"/>
      <c r="E110" s="15" t="n"/>
      <c r="F110" s="15" t="inlineStr">
        <is>
          <t>FRANCISCO</t>
        </is>
      </c>
      <c r="G110" s="15" t="n"/>
      <c r="H110" s="15" t="n"/>
      <c r="I110" s="15" t="inlineStr">
        <is>
          <t>FRANCISCO</t>
        </is>
      </c>
      <c r="J110" s="15" t="n">
        <v>34647</v>
      </c>
      <c r="K110" s="15" t="n"/>
      <c r="L110" s="15" t="n"/>
      <c r="M110" s="15" t="n">
        <v>0.1378</v>
      </c>
      <c r="N110" s="15" t="n">
        <v>0.7184</v>
      </c>
    </row>
    <row r="111" ht="18" customHeight="1">
      <c r="A111" s="14" t="inlineStr">
        <is>
          <t>5o lugar</t>
        </is>
      </c>
      <c r="B111" s="15" t="n">
        <v>24103.81</v>
      </c>
      <c r="C111" s="15" t="n"/>
      <c r="D111" s="15" t="n"/>
      <c r="E111" s="15" t="n"/>
      <c r="F111" s="15" t="n"/>
      <c r="G111" s="15" t="inlineStr">
        <is>
          <t>DEPOSITO</t>
        </is>
      </c>
      <c r="H111" s="15" t="n"/>
      <c r="I111" s="15" t="n"/>
      <c r="J111" s="15" t="n"/>
      <c r="K111" s="15" t="inlineStr">
        <is>
          <t>DEPOSITO</t>
        </is>
      </c>
      <c r="L111" s="15" t="n">
        <v>24103.81</v>
      </c>
      <c r="M111" s="15" t="n">
        <v>0.0958</v>
      </c>
      <c r="N111" s="15" t="n">
        <v>0.8142</v>
      </c>
    </row>
    <row r="112" ht="18" customHeight="1"/>
    <row r="113" ht="18" customHeight="1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18" customHeight="1">
      <c r="A114" s="16" t="inlineStr">
        <is>
          <t>Total</t>
        </is>
      </c>
      <c r="B114" s="17" t="n">
        <v>1131182</v>
      </c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>
        <v>150839</v>
      </c>
      <c r="C116" s="15" t="inlineStr">
        <is>
          <t>EDGAR</t>
        </is>
      </c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>
        <v>140739</v>
      </c>
      <c r="C117" s="15" t="n"/>
      <c r="D117" s="15" t="inlineStr">
        <is>
          <t>FRANCISCO</t>
        </is>
      </c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>
        <v>91742</v>
      </c>
      <c r="C118" s="15" t="n"/>
      <c r="D118" s="15" t="n"/>
      <c r="E118" s="15" t="inlineStr">
        <is>
          <t>EDUARDO</t>
        </is>
      </c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>
        <v>88710</v>
      </c>
      <c r="C119" s="15" t="n"/>
      <c r="D119" s="15" t="n"/>
      <c r="E119" s="15" t="n"/>
      <c r="F119" s="15" t="inlineStr">
        <is>
          <t>JORGE</t>
        </is>
      </c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>
        <v>73492</v>
      </c>
      <c r="C120" s="15" t="n"/>
      <c r="D120" s="15" t="n"/>
      <c r="E120" s="15" t="n"/>
      <c r="F120" s="15" t="n"/>
      <c r="G120" s="15" t="inlineStr">
        <is>
          <t>DEPOSITO</t>
        </is>
      </c>
      <c r="H120" s="15" t="n"/>
      <c r="I120" s="15" t="n"/>
      <c r="J120" s="15" t="n"/>
      <c r="K120" s="15" t="n"/>
      <c r="L120" s="15" t="n"/>
      <c r="M120" s="15" t="n"/>
      <c r="N120" s="15" t="n"/>
    </row>
    <row r="121" ht="18" customHeight="1"/>
    <row r="122" ht="18" customHeight="1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18" customHeight="1">
      <c r="A123" s="8" t="inlineStr">
        <is>
          <t>Total</t>
        </is>
      </c>
      <c r="B123" s="11" t="n">
        <v>94027</v>
      </c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>
        <v>29999</v>
      </c>
      <c r="C125" s="15" t="inlineStr">
        <is>
          <t>V1</t>
        </is>
      </c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>
        <v>21234</v>
      </c>
      <c r="C126" s="15" t="n"/>
      <c r="D126" s="15" t="inlineStr">
        <is>
          <t>EDGAR</t>
        </is>
      </c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>
        <v>15987</v>
      </c>
      <c r="C127" s="15" t="n"/>
      <c r="D127" s="15" t="n"/>
      <c r="E127" s="15" t="inlineStr">
        <is>
          <t>DEPOSITO</t>
        </is>
      </c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>
        <v>13456</v>
      </c>
      <c r="C128" s="15" t="n"/>
      <c r="D128" s="15" t="n"/>
      <c r="E128" s="15" t="n"/>
      <c r="F128" s="15" t="inlineStr">
        <is>
          <t>V39</t>
        </is>
      </c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>
        <v>11023</v>
      </c>
      <c r="C129" s="15" t="n"/>
      <c r="D129" s="15" t="n"/>
      <c r="E129" s="15" t="n"/>
      <c r="F129" s="15" t="n"/>
      <c r="G129" s="15" t="inlineStr">
        <is>
          <t>EDUARDO</t>
        </is>
      </c>
      <c r="H129" s="15" t="n"/>
      <c r="I129" s="15" t="n"/>
      <c r="J129" s="15" t="n"/>
      <c r="K129" s="15" t="n"/>
      <c r="L129" s="15" t="n"/>
      <c r="M129" s="15" t="n"/>
      <c r="N129" s="15" t="n"/>
    </row>
    <row r="130" ht="18" customHeight="1"/>
    <row r="131" ht="18" customHeight="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18" customHeight="1">
      <c r="A132" s="16" t="inlineStr">
        <is>
          <t>Total</t>
        </is>
      </c>
      <c r="B132" s="17" t="n">
        <v>1251614</v>
      </c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>
        <v>227673</v>
      </c>
      <c r="C134" s="15" t="inlineStr">
        <is>
          <t>EDGAR</t>
        </is>
      </c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>
        <v>170311</v>
      </c>
      <c r="C135" s="15" t="n"/>
      <c r="D135" s="15" t="inlineStr">
        <is>
          <t>JORGE</t>
        </is>
      </c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>
        <v>153967</v>
      </c>
      <c r="C136" s="15" t="n"/>
      <c r="D136" s="15" t="n"/>
      <c r="E136" s="15" t="inlineStr">
        <is>
          <t>V6</t>
        </is>
      </c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>
        <v>141219</v>
      </c>
      <c r="C137" s="15" t="n"/>
      <c r="D137" s="15" t="n"/>
      <c r="E137" s="15" t="n"/>
      <c r="F137" s="15" t="inlineStr">
        <is>
          <t>DEPOSITO</t>
        </is>
      </c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>
        <v>134949</v>
      </c>
      <c r="C138" s="15" t="n"/>
      <c r="D138" s="15" t="n"/>
      <c r="E138" s="15" t="n"/>
      <c r="F138" s="15" t="n"/>
      <c r="G138" s="15" t="inlineStr">
        <is>
          <t>FRANCISCO</t>
        </is>
      </c>
      <c r="H138" s="15" t="n"/>
      <c r="I138" s="15" t="n"/>
      <c r="J138" s="15" t="n"/>
      <c r="K138" s="15" t="n"/>
      <c r="L138" s="15" t="n"/>
      <c r="M138" s="15" t="n"/>
      <c r="N138" s="15" t="n"/>
    </row>
    <row r="139" ht="18" customHeight="1">
      <c r="B139" t="n">
        <v>0</v>
      </c>
    </row>
    <row r="140" ht="18" customHeight="1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18" customHeight="1">
      <c r="A141" s="8" t="inlineStr">
        <is>
          <t>Total</t>
        </is>
      </c>
      <c r="B141" s="11" t="n">
        <v>0</v>
      </c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18" customHeight="1"/>
    <row r="149" ht="18" customHeight="1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 ht="18" customHeight="1">
      <c r="A150" s="19" t="inlineStr">
        <is>
          <t>Proyección FEBRERO</t>
        </is>
      </c>
      <c r="B150" s="20" t="n">
        <v>1158184</v>
      </c>
    </row>
    <row r="151" ht="18" customHeight="1"/>
    <row r="152" ht="18" customHeight="1"/>
    <row r="153" ht="24" customHeight="1">
      <c r="A153" s="277" t="inlineStr">
        <is>
          <t>MARZO 2026</t>
        </is>
      </c>
    </row>
    <row r="154" ht="18" customHeight="1">
      <c r="A154" s="278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 ht="18" customHeight="1">
      <c r="A155" s="279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 ht="18" customHeight="1">
      <c r="A156" s="27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 ht="18" customHeight="1">
      <c r="A157" s="27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 ht="18" customHeight="1">
      <c r="A158" s="27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18" customHeight="1"/>
    <row r="160" ht="18" customHeight="1">
      <c r="A160" s="280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18" customHeight="1">
      <c r="A161" s="281" t="inlineStr">
        <is>
          <t>Total</t>
        </is>
      </c>
      <c r="B161" s="282" t="n">
        <v>1503969</v>
      </c>
    </row>
    <row r="162" ht="18" customHeight="1">
      <c r="A162" s="283" t="inlineStr">
        <is>
          <t>Top 5</t>
        </is>
      </c>
      <c r="C162" s="284" t="n"/>
      <c r="D162" s="284" t="n"/>
      <c r="E162" s="284" t="n"/>
      <c r="F162" s="284" t="n"/>
      <c r="G162" s="284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285" t="inlineStr">
        <is>
          <t>1er</t>
        </is>
      </c>
      <c r="B163" s="286" t="n">
        <v>324822</v>
      </c>
      <c r="C163" s="287" t="inlineStr">
        <is>
          <t>V1</t>
        </is>
      </c>
      <c r="D163" s="287" t="n"/>
      <c r="E163" s="287" t="n"/>
      <c r="F163" s="287" t="n"/>
      <c r="G163" s="287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285" t="inlineStr">
        <is>
          <t>2o</t>
        </is>
      </c>
      <c r="B164" s="286" t="n">
        <v>293341</v>
      </c>
      <c r="C164" s="287" t="n"/>
      <c r="D164" s="287" t="inlineStr">
        <is>
          <t>V6</t>
        </is>
      </c>
      <c r="E164" s="287" t="n"/>
      <c r="F164" s="287" t="n"/>
      <c r="G164" s="287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285" t="inlineStr">
        <is>
          <t>3er</t>
        </is>
      </c>
      <c r="B165" s="286" t="n">
        <v>193535</v>
      </c>
      <c r="C165" s="287" t="n"/>
      <c r="D165" s="287" t="n"/>
      <c r="E165" s="287" t="inlineStr">
        <is>
          <t>V38</t>
        </is>
      </c>
      <c r="F165" s="287" t="n"/>
      <c r="G165" s="287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285" t="inlineStr">
        <is>
          <t>4o</t>
        </is>
      </c>
      <c r="B166" s="286" t="n">
        <v>175043</v>
      </c>
      <c r="C166" s="287" t="n"/>
      <c r="D166" s="287" t="n"/>
      <c r="E166" s="287" t="n"/>
      <c r="F166" s="287" t="inlineStr">
        <is>
          <t>V39</t>
        </is>
      </c>
      <c r="G166" s="287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285" t="inlineStr">
        <is>
          <t>5o</t>
        </is>
      </c>
      <c r="B167" s="286" t="n">
        <v>126905</v>
      </c>
      <c r="C167" s="287" t="n"/>
      <c r="D167" s="287" t="n"/>
      <c r="E167" s="287" t="n"/>
      <c r="F167" s="287" t="n"/>
      <c r="G167" s="287" t="inlineStr">
        <is>
          <t>V27</t>
        </is>
      </c>
      <c r="H167" s="15" t="n"/>
      <c r="I167" s="15" t="n"/>
      <c r="J167" s="15" t="n"/>
      <c r="K167" s="15" t="n"/>
      <c r="L167" s="15" t="n"/>
      <c r="M167" s="15" t="n"/>
      <c r="N167" s="15" t="n"/>
    </row>
    <row r="168" ht="18" customHeight="1"/>
    <row r="169" ht="18" customHeight="1">
      <c r="A169" s="280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18" customHeight="1">
      <c r="A170" s="281" t="inlineStr">
        <is>
          <t>Total</t>
        </is>
      </c>
      <c r="B170" s="282" t="n">
        <v>106825</v>
      </c>
    </row>
    <row r="171" ht="18" customHeight="1">
      <c r="A171" s="283" t="inlineStr">
        <is>
          <t>Top 5</t>
        </is>
      </c>
      <c r="C171" s="284" t="n"/>
      <c r="D171" s="284" t="n"/>
      <c r="E171" s="284" t="n"/>
      <c r="F171" s="284" t="n"/>
      <c r="G171" s="284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285" t="inlineStr">
        <is>
          <t>1er</t>
        </is>
      </c>
      <c r="B172" s="286" t="n">
        <v>19788</v>
      </c>
      <c r="C172" s="287" t="inlineStr">
        <is>
          <t>V1</t>
        </is>
      </c>
      <c r="D172" s="287" t="n"/>
      <c r="E172" s="287" t="n"/>
      <c r="F172" s="287" t="n"/>
      <c r="G172" s="287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285" t="inlineStr">
        <is>
          <t>2o</t>
        </is>
      </c>
      <c r="B173" s="286" t="n">
        <v>16551</v>
      </c>
      <c r="C173" s="287" t="n"/>
      <c r="D173" s="287" t="inlineStr">
        <is>
          <t>V38</t>
        </is>
      </c>
      <c r="E173" s="287" t="n"/>
      <c r="F173" s="287" t="n"/>
      <c r="G173" s="287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285" t="inlineStr">
        <is>
          <t>3er</t>
        </is>
      </c>
      <c r="B174" s="286" t="n">
        <v>15166</v>
      </c>
      <c r="C174" s="287" t="n"/>
      <c r="D174" s="287" t="n"/>
      <c r="E174" s="287" t="inlineStr">
        <is>
          <t>V6</t>
        </is>
      </c>
      <c r="F174" s="287" t="n"/>
      <c r="G174" s="287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285" t="inlineStr">
        <is>
          <t>4o</t>
        </is>
      </c>
      <c r="B175" s="286" t="n">
        <v>13415</v>
      </c>
      <c r="C175" s="287" t="n"/>
      <c r="D175" s="287" t="n"/>
      <c r="E175" s="287" t="n"/>
      <c r="F175" s="287" t="inlineStr">
        <is>
          <t>V56</t>
        </is>
      </c>
      <c r="G175" s="287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285" t="inlineStr">
        <is>
          <t>5o</t>
        </is>
      </c>
      <c r="B176" s="286" t="n">
        <v>12616</v>
      </c>
      <c r="C176" s="287" t="n"/>
      <c r="D176" s="287" t="n"/>
      <c r="E176" s="287" t="n"/>
      <c r="F176" s="287" t="n"/>
      <c r="G176" s="287" t="inlineStr">
        <is>
          <t>V84</t>
        </is>
      </c>
      <c r="H176" s="15" t="n"/>
      <c r="I176" s="15" t="n"/>
      <c r="J176" s="15" t="n"/>
      <c r="K176" s="15" t="n"/>
      <c r="L176" s="15" t="n"/>
      <c r="M176" s="15" t="n"/>
      <c r="N176" s="15" t="n"/>
    </row>
    <row r="177" ht="18" customHeight="1"/>
    <row r="178" ht="18" customHeight="1">
      <c r="A178" s="280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18" customHeight="1">
      <c r="A179" s="281" t="inlineStr">
        <is>
          <t>Total</t>
        </is>
      </c>
      <c r="B179" s="282" t="n">
        <v>145938</v>
      </c>
    </row>
    <row r="180" ht="18" customHeight="1">
      <c r="A180" s="283" t="inlineStr">
        <is>
          <t>Top 5</t>
        </is>
      </c>
      <c r="C180" s="284" t="n"/>
      <c r="D180" s="284" t="n"/>
      <c r="E180" s="284" t="n"/>
      <c r="F180" s="284" t="n"/>
      <c r="G180" s="284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285" t="inlineStr">
        <is>
          <t>1er</t>
        </is>
      </c>
      <c r="B181" s="286" t="n">
        <v>30632</v>
      </c>
      <c r="C181" s="287" t="inlineStr">
        <is>
          <t>V39</t>
        </is>
      </c>
      <c r="D181" s="287" t="n"/>
      <c r="E181" s="287" t="n"/>
      <c r="F181" s="287" t="n"/>
      <c r="G181" s="287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285" t="inlineStr">
        <is>
          <t>2o</t>
        </is>
      </c>
      <c r="B182" s="286" t="n">
        <v>23081</v>
      </c>
      <c r="C182" s="287" t="n"/>
      <c r="D182" s="287" t="inlineStr">
        <is>
          <t>EDGAR</t>
        </is>
      </c>
      <c r="E182" s="287" t="n"/>
      <c r="F182" s="287" t="n"/>
      <c r="G182" s="287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285" t="inlineStr">
        <is>
          <t>3er</t>
        </is>
      </c>
      <c r="B183" s="286" t="n">
        <v>22118</v>
      </c>
      <c r="C183" s="287" t="n"/>
      <c r="D183" s="287" t="n"/>
      <c r="E183" s="287" t="inlineStr">
        <is>
          <t>DEPOSITO</t>
        </is>
      </c>
      <c r="F183" s="287" t="n"/>
      <c r="G183" s="287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285" t="inlineStr">
        <is>
          <t>4o</t>
        </is>
      </c>
      <c r="B184" s="286" t="n">
        <v>21557</v>
      </c>
      <c r="C184" s="287" t="n"/>
      <c r="D184" s="287" t="n"/>
      <c r="E184" s="287" t="n"/>
      <c r="F184" s="287" t="inlineStr">
        <is>
          <t>JORGE</t>
        </is>
      </c>
      <c r="G184" s="287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285" t="inlineStr">
        <is>
          <t>5o</t>
        </is>
      </c>
      <c r="B185" s="286" t="n">
        <v>12381</v>
      </c>
      <c r="C185" s="287" t="n"/>
      <c r="D185" s="287" t="n"/>
      <c r="E185" s="287" t="n"/>
      <c r="F185" s="287" t="n"/>
      <c r="G185" s="287" t="inlineStr">
        <is>
          <t>FRANCISCO</t>
        </is>
      </c>
      <c r="H185" s="15" t="n"/>
      <c r="I185" s="15" t="n"/>
      <c r="J185" s="15" t="n"/>
      <c r="K185" s="15" t="n"/>
      <c r="L185" s="15" t="n"/>
      <c r="M185" s="15" t="n"/>
      <c r="N185" s="15" t="n"/>
    </row>
    <row r="186" ht="18" customHeight="1"/>
    <row r="187" ht="18" customHeight="1">
      <c r="A187" s="280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18" customHeight="1">
      <c r="A188" s="281" t="inlineStr">
        <is>
          <t>Total</t>
        </is>
      </c>
      <c r="B188" s="282" t="n">
        <v>1202393</v>
      </c>
    </row>
    <row r="189" ht="18" customHeight="1">
      <c r="A189" s="283" t="inlineStr">
        <is>
          <t>Top 5</t>
        </is>
      </c>
      <c r="C189" s="284" t="n"/>
      <c r="D189" s="284" t="n"/>
      <c r="E189" s="284" t="n"/>
      <c r="F189" s="284" t="n"/>
      <c r="G189" s="284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285" t="inlineStr">
        <is>
          <t>1er</t>
        </is>
      </c>
      <c r="B190" s="286" t="n">
        <v>199444</v>
      </c>
      <c r="C190" s="287" t="inlineStr">
        <is>
          <t>EDGAR</t>
        </is>
      </c>
      <c r="D190" s="287" t="n"/>
      <c r="E190" s="287" t="n"/>
      <c r="F190" s="287" t="n"/>
      <c r="G190" s="287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285" t="inlineStr">
        <is>
          <t>2o</t>
        </is>
      </c>
      <c r="B191" s="286" t="n">
        <v>168196</v>
      </c>
      <c r="C191" s="287" t="n"/>
      <c r="D191" s="287" t="inlineStr">
        <is>
          <t>DEPOSITO</t>
        </is>
      </c>
      <c r="E191" s="287" t="n"/>
      <c r="F191" s="287" t="n"/>
      <c r="G191" s="287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285" t="inlineStr">
        <is>
          <t>3er</t>
        </is>
      </c>
      <c r="B192" s="286" t="n">
        <v>118908</v>
      </c>
      <c r="C192" s="287" t="n"/>
      <c r="D192" s="287" t="n"/>
      <c r="E192" s="287" t="inlineStr">
        <is>
          <t>V1</t>
        </is>
      </c>
      <c r="F192" s="287" t="n"/>
      <c r="G192" s="287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285" t="inlineStr">
        <is>
          <t>4o</t>
        </is>
      </c>
      <c r="B193" s="286" t="n">
        <v>113756</v>
      </c>
      <c r="C193" s="287" t="n"/>
      <c r="D193" s="287" t="n"/>
      <c r="E193" s="287" t="n"/>
      <c r="F193" s="287" t="inlineStr">
        <is>
          <t>JORGE</t>
        </is>
      </c>
      <c r="G193" s="287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285" t="inlineStr">
        <is>
          <t>5o</t>
        </is>
      </c>
      <c r="B194" s="286" t="n">
        <v>95792</v>
      </c>
      <c r="C194" s="287" t="n"/>
      <c r="D194" s="287" t="n"/>
      <c r="E194" s="287" t="n"/>
      <c r="F194" s="287" t="n"/>
      <c r="G194" s="287" t="inlineStr">
        <is>
          <t>FRANCISCO</t>
        </is>
      </c>
      <c r="H194" s="15" t="n"/>
      <c r="I194" s="15" t="n"/>
      <c r="J194" s="15" t="n"/>
      <c r="K194" s="15" t="n"/>
      <c r="L194" s="15" t="n"/>
      <c r="M194" s="15" t="n"/>
      <c r="N194" s="15" t="n"/>
    </row>
    <row r="195" ht="18" customHeight="1"/>
    <row r="196" ht="18" customHeight="1">
      <c r="A196" s="280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18" customHeight="1">
      <c r="A197" s="281" t="inlineStr">
        <is>
          <t>Total</t>
        </is>
      </c>
      <c r="B197" s="282" t="n">
        <v>180788</v>
      </c>
    </row>
    <row r="198" ht="18" customHeight="1">
      <c r="A198" s="283" t="inlineStr">
        <is>
          <t>Top 5</t>
        </is>
      </c>
      <c r="C198" s="284" t="n"/>
      <c r="D198" s="284" t="n"/>
      <c r="E198" s="284" t="n"/>
      <c r="F198" s="284" t="n"/>
      <c r="G198" s="284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285" t="inlineStr">
        <is>
          <t>1er</t>
        </is>
      </c>
      <c r="B199" s="286" t="n">
        <v>39900</v>
      </c>
      <c r="C199" s="287" t="inlineStr">
        <is>
          <t>V39</t>
        </is>
      </c>
      <c r="D199" s="287" t="n"/>
      <c r="E199" s="287" t="n"/>
      <c r="F199" s="287" t="n"/>
      <c r="G199" s="287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285" t="inlineStr">
        <is>
          <t>2o</t>
        </is>
      </c>
      <c r="B200" s="286" t="n">
        <v>30129</v>
      </c>
      <c r="C200" s="287" t="n"/>
      <c r="D200" s="287" t="inlineStr">
        <is>
          <t>JORGE</t>
        </is>
      </c>
      <c r="E200" s="287" t="n"/>
      <c r="F200" s="287" t="n"/>
      <c r="G200" s="287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285" t="inlineStr">
        <is>
          <t>3er</t>
        </is>
      </c>
      <c r="B201" s="286" t="n">
        <v>28947</v>
      </c>
      <c r="C201" s="287" t="n"/>
      <c r="D201" s="287" t="n"/>
      <c r="E201" s="287" t="inlineStr">
        <is>
          <t>EDGAR</t>
        </is>
      </c>
      <c r="F201" s="287" t="n"/>
      <c r="G201" s="287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285" t="inlineStr">
        <is>
          <t>4o</t>
        </is>
      </c>
      <c r="B202" s="286" t="n">
        <v>22542</v>
      </c>
      <c r="C202" s="287" t="n"/>
      <c r="D202" s="287" t="n"/>
      <c r="E202" s="287" t="n"/>
      <c r="F202" s="287" t="inlineStr">
        <is>
          <t>FRANCISCO</t>
        </is>
      </c>
      <c r="G202" s="287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285" t="inlineStr">
        <is>
          <t>5o</t>
        </is>
      </c>
      <c r="B203" s="286" t="n">
        <v>13930</v>
      </c>
      <c r="C203" s="287" t="n"/>
      <c r="D203" s="287" t="n"/>
      <c r="E203" s="287" t="n"/>
      <c r="F203" s="287" t="n"/>
      <c r="G203" s="287" t="inlineStr">
        <is>
          <t>DEPOSITO</t>
        </is>
      </c>
      <c r="H203" s="15" t="n"/>
      <c r="I203" s="15" t="n"/>
      <c r="J203" s="15" t="n"/>
      <c r="K203" s="15" t="n"/>
      <c r="L203" s="15" t="n"/>
      <c r="M203" s="15" t="n"/>
      <c r="N203" s="15" t="n"/>
    </row>
    <row r="204" ht="18" customHeight="1"/>
    <row r="205" ht="18" customHeight="1">
      <c r="A205" s="280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18" customHeight="1">
      <c r="A206" s="281" t="inlineStr">
        <is>
          <t>Total</t>
        </is>
      </c>
      <c r="B206" s="282" t="n">
        <v>1433162</v>
      </c>
    </row>
    <row r="207" ht="18" customHeight="1">
      <c r="A207" s="283" t="inlineStr">
        <is>
          <t>Top 5</t>
        </is>
      </c>
      <c r="C207" s="284" t="n"/>
      <c r="D207" s="284" t="n"/>
      <c r="E207" s="284" t="n"/>
      <c r="F207" s="284" t="n"/>
      <c r="G207" s="284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285" t="inlineStr">
        <is>
          <t>1er</t>
        </is>
      </c>
      <c r="B208" s="286" t="n">
        <v>234290</v>
      </c>
      <c r="C208" s="287" t="inlineStr">
        <is>
          <t>EDGAR</t>
        </is>
      </c>
      <c r="D208" s="287" t="n"/>
      <c r="E208" s="287" t="n"/>
      <c r="F208" s="287" t="n"/>
      <c r="G208" s="287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285" t="inlineStr">
        <is>
          <t>2o</t>
        </is>
      </c>
      <c r="B209" s="286" t="n">
        <v>196468</v>
      </c>
      <c r="C209" s="287" t="n"/>
      <c r="D209" s="287" t="inlineStr">
        <is>
          <t>DEPOSITO</t>
        </is>
      </c>
      <c r="E209" s="287" t="n"/>
      <c r="F209" s="287" t="n"/>
      <c r="G209" s="287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285" t="inlineStr">
        <is>
          <t>3er</t>
        </is>
      </c>
      <c r="B210" s="286" t="n">
        <v>143885</v>
      </c>
      <c r="C210" s="287" t="n"/>
      <c r="D210" s="287" t="n"/>
      <c r="E210" s="287" t="inlineStr">
        <is>
          <t>JORGE</t>
        </is>
      </c>
      <c r="F210" s="287" t="n"/>
      <c r="G210" s="287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285" t="inlineStr">
        <is>
          <t>4o</t>
        </is>
      </c>
      <c r="B211" s="286" t="n">
        <v>129918</v>
      </c>
      <c r="C211" s="287" t="n"/>
      <c r="D211" s="287" t="n"/>
      <c r="E211" s="287" t="n"/>
      <c r="F211" s="287" t="inlineStr">
        <is>
          <t>V1</t>
        </is>
      </c>
      <c r="G211" s="287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285" t="inlineStr">
        <is>
          <t>5o</t>
        </is>
      </c>
      <c r="B212" s="286" t="n">
        <v>119867</v>
      </c>
      <c r="C212" s="287" t="n"/>
      <c r="D212" s="287" t="n"/>
      <c r="E212" s="287" t="n"/>
      <c r="F212" s="287" t="n"/>
      <c r="G212" s="287" t="inlineStr">
        <is>
          <t>FRANCISCO</t>
        </is>
      </c>
      <c r="H212" s="15" t="n"/>
      <c r="I212" s="15" t="n"/>
      <c r="J212" s="15" t="n"/>
      <c r="K212" s="15" t="n"/>
      <c r="L212" s="15" t="n"/>
      <c r="M212" s="15" t="n"/>
      <c r="N212" s="15" t="n"/>
    </row>
    <row r="213" ht="18" customHeight="1"/>
    <row r="214" ht="18" customHeight="1">
      <c r="A214" s="280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18" customHeight="1">
      <c r="A215" s="281" t="inlineStr">
        <is>
          <t>Total</t>
        </is>
      </c>
      <c r="B215" s="282" t="n">
        <v>0</v>
      </c>
    </row>
    <row r="216" ht="18" customHeight="1">
      <c r="A216" s="283" t="inlineStr">
        <is>
          <t>Top 5</t>
        </is>
      </c>
      <c r="C216" s="284" t="n"/>
      <c r="D216" s="284" t="n"/>
      <c r="E216" s="284" t="n"/>
      <c r="F216" s="284" t="n"/>
      <c r="G216" s="284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285" t="inlineStr">
        <is>
          <t>1er</t>
        </is>
      </c>
      <c r="B217" s="286" t="n"/>
      <c r="C217" s="287" t="n"/>
      <c r="D217" s="287" t="n"/>
      <c r="E217" s="287" t="n"/>
      <c r="F217" s="287" t="n"/>
      <c r="G217" s="287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285" t="inlineStr">
        <is>
          <t>2o</t>
        </is>
      </c>
      <c r="B218" s="286" t="n"/>
      <c r="C218" s="287" t="n"/>
      <c r="D218" s="287" t="n"/>
      <c r="E218" s="287" t="n"/>
      <c r="F218" s="287" t="n"/>
      <c r="G218" s="287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285" t="inlineStr">
        <is>
          <t>3er</t>
        </is>
      </c>
      <c r="B219" s="286" t="n"/>
      <c r="C219" s="287" t="n"/>
      <c r="D219" s="287" t="n"/>
      <c r="E219" s="287" t="n"/>
      <c r="F219" s="287" t="n"/>
      <c r="G219" s="287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285" t="inlineStr">
        <is>
          <t>4o</t>
        </is>
      </c>
      <c r="B220" s="286" t="n"/>
      <c r="C220" s="287" t="n"/>
      <c r="D220" s="287" t="n"/>
      <c r="E220" s="287" t="n"/>
      <c r="F220" s="287" t="n"/>
      <c r="G220" s="287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285" t="inlineStr">
        <is>
          <t>5o</t>
        </is>
      </c>
      <c r="B221" s="286" t="n"/>
      <c r="C221" s="287" t="n"/>
      <c r="D221" s="287" t="n"/>
      <c r="E221" s="287" t="n"/>
      <c r="F221" s="287" t="n"/>
      <c r="G221" s="287" t="n"/>
      <c r="H221" s="15" t="n"/>
      <c r="I221" s="15" t="n"/>
      <c r="J221" s="15" t="n"/>
      <c r="K221" s="15" t="n"/>
      <c r="L221" s="15" t="n"/>
      <c r="M221" s="15" t="n"/>
      <c r="N221" s="15" t="n"/>
    </row>
    <row r="222" ht="18" customHeight="1"/>
    <row r="223" ht="18" customHeight="1">
      <c r="A223" s="280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 ht="18" customHeight="1">
      <c r="A224" s="281" t="inlineStr">
        <is>
          <t>Proyección MARZO</t>
        </is>
      </c>
      <c r="B224" s="282" t="n">
        <v>996614</v>
      </c>
    </row>
    <row r="225" ht="18" customHeight="1"/>
    <row r="226" ht="18" customHeight="1"/>
    <row r="227" ht="24" customHeight="1">
      <c r="A227" s="277" t="inlineStr">
        <is>
          <t>ABRIL 2026</t>
        </is>
      </c>
    </row>
    <row r="228" ht="18" customHeight="1">
      <c r="A228" s="278" t="inlineStr">
        <is>
          <t>CONCEPTO</t>
        </is>
      </c>
      <c r="B228" s="288" t="inlineStr">
        <is>
          <t>TOTAL ($)</t>
        </is>
      </c>
      <c r="C228" s="288" t="inlineStr">
        <is>
          <t>TOP 1</t>
        </is>
      </c>
      <c r="D228" s="288" t="inlineStr">
        <is>
          <t>TOP 2</t>
        </is>
      </c>
      <c r="E228" s="288" t="inlineStr">
        <is>
          <t>TOP 3</t>
        </is>
      </c>
      <c r="F228" s="288" t="inlineStr">
        <is>
          <t>TOP 4</t>
        </is>
      </c>
      <c r="G228" s="288" t="inlineStr">
        <is>
          <t>TOP 5</t>
        </is>
      </c>
      <c r="H228" s="288" t="inlineStr">
        <is>
          <t>% TOP 1</t>
        </is>
      </c>
      <c r="I228" s="288" t="inlineStr">
        <is>
          <t>% TOP 2</t>
        </is>
      </c>
      <c r="J228" s="288" t="inlineStr">
        <is>
          <t>% TOP 3</t>
        </is>
      </c>
      <c r="K228" s="288" t="inlineStr">
        <is>
          <t>% TOP 4</t>
        </is>
      </c>
      <c r="L228" s="288" t="inlineStr">
        <is>
          <t>% TOP 5</t>
        </is>
      </c>
      <c r="M228" s="288" t="inlineStr">
        <is>
          <t>% ACUM.</t>
        </is>
      </c>
    </row>
    <row r="229" ht="18" customHeight="1">
      <c r="A229" s="279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 ht="18" customHeight="1">
      <c r="A230" s="27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 ht="18" customHeight="1">
      <c r="A231" s="27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 ht="18" customHeight="1">
      <c r="A232" s="27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18" customHeight="1"/>
    <row r="234" ht="18" customHeight="1">
      <c r="A234" s="280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18" customHeight="1">
      <c r="A235" s="281" t="inlineStr">
        <is>
          <t>Total</t>
        </is>
      </c>
      <c r="B235" s="282" t="n">
        <v>1333269</v>
      </c>
    </row>
    <row r="236" ht="18" customHeight="1">
      <c r="A236" s="283" t="inlineStr">
        <is>
          <t>Top 5</t>
        </is>
      </c>
      <c r="C236" s="284" t="n"/>
      <c r="D236" s="284" t="n"/>
      <c r="E236" s="284" t="n"/>
      <c r="F236" s="284" t="n"/>
      <c r="G236" s="284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285" t="inlineStr">
        <is>
          <t>1er</t>
        </is>
      </c>
      <c r="B237" s="286" t="n">
        <v>252756</v>
      </c>
      <c r="C237" s="287" t="inlineStr">
        <is>
          <t>V1</t>
        </is>
      </c>
      <c r="D237" s="287" t="n"/>
      <c r="E237" s="287" t="n"/>
      <c r="F237" s="287" t="n"/>
      <c r="G237" s="287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285" t="inlineStr">
        <is>
          <t>2o</t>
        </is>
      </c>
      <c r="B238" s="286" t="n">
        <v>232738</v>
      </c>
      <c r="C238" s="287" t="n"/>
      <c r="D238" s="287" t="inlineStr">
        <is>
          <t>V6</t>
        </is>
      </c>
      <c r="E238" s="287" t="n"/>
      <c r="F238" s="287" t="n"/>
      <c r="G238" s="287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285" t="inlineStr">
        <is>
          <t>3er</t>
        </is>
      </c>
      <c r="B239" s="286" t="n">
        <v>189665</v>
      </c>
      <c r="C239" s="287" t="n"/>
      <c r="D239" s="287" t="n"/>
      <c r="E239" s="287" t="inlineStr">
        <is>
          <t>V39</t>
        </is>
      </c>
      <c r="F239" s="287" t="n"/>
      <c r="G239" s="287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285" t="inlineStr">
        <is>
          <t>4o</t>
        </is>
      </c>
      <c r="B240" s="286" t="n">
        <v>176792</v>
      </c>
      <c r="C240" s="287" t="n"/>
      <c r="D240" s="287" t="n"/>
      <c r="E240" s="287" t="n"/>
      <c r="F240" s="287" t="inlineStr">
        <is>
          <t>V38</t>
        </is>
      </c>
      <c r="G240" s="287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285" t="inlineStr">
        <is>
          <t>5o</t>
        </is>
      </c>
      <c r="B241" s="286" t="n">
        <v>104567</v>
      </c>
      <c r="C241" s="287" t="n"/>
      <c r="D241" s="287" t="n"/>
      <c r="E241" s="287" t="n"/>
      <c r="F241" s="287" t="n"/>
      <c r="G241" s="287" t="inlineStr">
        <is>
          <t>V56</t>
        </is>
      </c>
      <c r="H241" s="15" t="n"/>
      <c r="I241" s="15" t="n"/>
      <c r="J241" s="15" t="n"/>
      <c r="K241" s="15" t="n"/>
      <c r="L241" s="15" t="n"/>
      <c r="M241" s="15" t="n"/>
      <c r="N241" s="15" t="n"/>
    </row>
    <row r="242" ht="18" customHeight="1"/>
    <row r="243" ht="18" customHeight="1">
      <c r="A243" s="280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18" customHeight="1">
      <c r="A244" s="281" t="inlineStr">
        <is>
          <t>Total</t>
        </is>
      </c>
      <c r="B244" s="282" t="n">
        <v>116313</v>
      </c>
    </row>
    <row r="245" ht="18" customHeight="1">
      <c r="A245" s="283" t="inlineStr">
        <is>
          <t>Top 5</t>
        </is>
      </c>
      <c r="C245" s="284" t="n"/>
      <c r="D245" s="284" t="n"/>
      <c r="E245" s="284" t="n"/>
      <c r="F245" s="284" t="n"/>
      <c r="G245" s="284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285" t="inlineStr">
        <is>
          <t>1er</t>
        </is>
      </c>
      <c r="B246" s="286" t="n">
        <v>16519</v>
      </c>
      <c r="C246" s="287" t="inlineStr">
        <is>
          <t>V39</t>
        </is>
      </c>
      <c r="D246" s="287" t="n"/>
      <c r="E246" s="287" t="n"/>
      <c r="F246" s="287" t="n"/>
      <c r="G246" s="287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285" t="inlineStr">
        <is>
          <t>2o</t>
        </is>
      </c>
      <c r="B247" s="286" t="n">
        <v>16242</v>
      </c>
      <c r="C247" s="287" t="n"/>
      <c r="D247" s="287" t="inlineStr">
        <is>
          <t>V38</t>
        </is>
      </c>
      <c r="E247" s="287" t="n"/>
      <c r="F247" s="287" t="n"/>
      <c r="G247" s="287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285" t="inlineStr">
        <is>
          <t>3er</t>
        </is>
      </c>
      <c r="B248" s="286" t="n">
        <v>15691</v>
      </c>
      <c r="C248" s="287" t="n"/>
      <c r="D248" s="287" t="n"/>
      <c r="E248" s="287" t="inlineStr">
        <is>
          <t>V1</t>
        </is>
      </c>
      <c r="F248" s="287" t="n"/>
      <c r="G248" s="287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285" t="inlineStr">
        <is>
          <t>4o</t>
        </is>
      </c>
      <c r="B249" s="286" t="n">
        <v>13754</v>
      </c>
      <c r="C249" s="287" t="n"/>
      <c r="D249" s="287" t="n"/>
      <c r="E249" s="287" t="n"/>
      <c r="F249" s="287" t="inlineStr">
        <is>
          <t>V6</t>
        </is>
      </c>
      <c r="G249" s="287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285" t="inlineStr">
        <is>
          <t>5o</t>
        </is>
      </c>
      <c r="B250" s="286" t="n">
        <v>13047</v>
      </c>
      <c r="C250" s="287" t="n"/>
      <c r="D250" s="287" t="n"/>
      <c r="E250" s="287" t="n"/>
      <c r="F250" s="287" t="n"/>
      <c r="G250" s="287" t="inlineStr">
        <is>
          <t>V56</t>
        </is>
      </c>
      <c r="H250" s="15" t="n"/>
      <c r="I250" s="15" t="n"/>
      <c r="J250" s="15" t="n"/>
      <c r="K250" s="15" t="n"/>
      <c r="L250" s="15" t="n"/>
      <c r="M250" s="15" t="n"/>
      <c r="N250" s="15" t="n"/>
    </row>
    <row r="251" ht="18" customHeight="1"/>
    <row r="252" ht="18" customHeight="1">
      <c r="A252" s="280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18" customHeight="1">
      <c r="A253" s="281" t="inlineStr">
        <is>
          <t>Total</t>
        </is>
      </c>
      <c r="B253" s="282" t="n">
        <v>142779</v>
      </c>
    </row>
    <row r="254" ht="18" customHeight="1">
      <c r="A254" s="283" t="inlineStr">
        <is>
          <t>Top 5</t>
        </is>
      </c>
      <c r="C254" s="284" t="n"/>
      <c r="D254" s="284" t="n"/>
      <c r="E254" s="284" t="n"/>
      <c r="F254" s="284" t="n"/>
      <c r="G254" s="284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285" t="inlineStr">
        <is>
          <t>1er</t>
        </is>
      </c>
      <c r="B255" s="286" t="n">
        <v>22753</v>
      </c>
      <c r="C255" s="287" t="inlineStr">
        <is>
          <t>EDGAR</t>
        </is>
      </c>
      <c r="D255" s="287" t="n"/>
      <c r="E255" s="287" t="n"/>
      <c r="F255" s="287" t="n"/>
      <c r="G255" s="287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285" t="inlineStr">
        <is>
          <t>2o</t>
        </is>
      </c>
      <c r="B256" s="286" t="n">
        <v>22418</v>
      </c>
      <c r="C256" s="287" t="n"/>
      <c r="D256" s="287" t="inlineStr">
        <is>
          <t>V39</t>
        </is>
      </c>
      <c r="E256" s="287" t="n"/>
      <c r="F256" s="287" t="n"/>
      <c r="G256" s="287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285" t="inlineStr">
        <is>
          <t>3er</t>
        </is>
      </c>
      <c r="B257" s="286" t="n">
        <v>22157</v>
      </c>
      <c r="C257" s="287" t="n"/>
      <c r="D257" s="287" t="n"/>
      <c r="E257" s="287" t="inlineStr">
        <is>
          <t>EDUARDO</t>
        </is>
      </c>
      <c r="F257" s="287" t="n"/>
      <c r="G257" s="287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285" t="inlineStr">
        <is>
          <t>4o</t>
        </is>
      </c>
      <c r="B258" s="286" t="n">
        <v>19559</v>
      </c>
      <c r="C258" s="287" t="n"/>
      <c r="D258" s="287" t="n"/>
      <c r="E258" s="287" t="n"/>
      <c r="F258" s="287" t="inlineStr">
        <is>
          <t>DEPOSITO</t>
        </is>
      </c>
      <c r="G258" s="287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285" t="inlineStr">
        <is>
          <t>5o</t>
        </is>
      </c>
      <c r="B259" s="286" t="n">
        <v>18767</v>
      </c>
      <c r="C259" s="287" t="n"/>
      <c r="D259" s="287" t="n"/>
      <c r="E259" s="287" t="n"/>
      <c r="F259" s="287" t="n"/>
      <c r="G259" s="287" t="inlineStr">
        <is>
          <t>FRANCISCO</t>
        </is>
      </c>
      <c r="H259" s="15" t="n"/>
      <c r="I259" s="15" t="n"/>
      <c r="J259" s="15" t="n"/>
      <c r="K259" s="15" t="n"/>
      <c r="L259" s="15" t="n"/>
      <c r="M259" s="15" t="n"/>
      <c r="N259" s="15" t="n"/>
    </row>
    <row r="260" ht="18" customHeight="1"/>
    <row r="261" ht="18" customHeight="1">
      <c r="A261" s="280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18" customHeight="1">
      <c r="A262" s="281" t="inlineStr">
        <is>
          <t>Total</t>
        </is>
      </c>
      <c r="B262" s="282" t="n">
        <v>1017950</v>
      </c>
    </row>
    <row r="263" ht="18" customHeight="1">
      <c r="A263" s="283" t="inlineStr">
        <is>
          <t>Top 5</t>
        </is>
      </c>
      <c r="C263" s="284" t="n"/>
      <c r="D263" s="284" t="n"/>
      <c r="E263" s="284" t="n"/>
      <c r="F263" s="284" t="n"/>
      <c r="G263" s="284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285" t="inlineStr">
        <is>
          <t>1er</t>
        </is>
      </c>
      <c r="B264" s="286" t="n">
        <v>226674</v>
      </c>
      <c r="C264" s="287" t="inlineStr">
        <is>
          <t>DEPOSITO</t>
        </is>
      </c>
      <c r="D264" s="287" t="n"/>
      <c r="E264" s="287" t="n"/>
      <c r="F264" s="287" t="n"/>
      <c r="G264" s="287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285" t="inlineStr">
        <is>
          <t>2o</t>
        </is>
      </c>
      <c r="B265" s="286" t="n">
        <v>174488</v>
      </c>
      <c r="C265" s="287" t="n"/>
      <c r="D265" s="287" t="inlineStr">
        <is>
          <t>EDGAR</t>
        </is>
      </c>
      <c r="E265" s="287" t="n"/>
      <c r="F265" s="287" t="n"/>
      <c r="G265" s="287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285" t="inlineStr">
        <is>
          <t>3er</t>
        </is>
      </c>
      <c r="B266" s="286" t="n">
        <v>117049</v>
      </c>
      <c r="C266" s="287" t="n"/>
      <c r="D266" s="287" t="n"/>
      <c r="E266" s="287" t="inlineStr">
        <is>
          <t>JORGE</t>
        </is>
      </c>
      <c r="F266" s="287" t="n"/>
      <c r="G266" s="287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285" t="inlineStr">
        <is>
          <t>4o</t>
        </is>
      </c>
      <c r="B267" s="286" t="n">
        <v>109425</v>
      </c>
      <c r="C267" s="287" t="n"/>
      <c r="D267" s="287" t="n"/>
      <c r="E267" s="287" t="n"/>
      <c r="F267" s="287" t="inlineStr">
        <is>
          <t>FRANCISCO</t>
        </is>
      </c>
      <c r="G267" s="287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285" t="inlineStr">
        <is>
          <t>5o</t>
        </is>
      </c>
      <c r="B268" s="286" t="n">
        <v>57711</v>
      </c>
      <c r="C268" s="287" t="n"/>
      <c r="D268" s="287" t="n"/>
      <c r="E268" s="287" t="n"/>
      <c r="F268" s="287" t="n"/>
      <c r="G268" s="287" t="inlineStr">
        <is>
          <t>V39</t>
        </is>
      </c>
      <c r="H268" s="15" t="n"/>
      <c r="I268" s="15" t="n"/>
      <c r="J268" s="15" t="n"/>
      <c r="K268" s="15" t="n"/>
      <c r="L268" s="15" t="n"/>
      <c r="M268" s="15" t="n"/>
      <c r="N268" s="15" t="n"/>
    </row>
    <row r="269" ht="18" customHeight="1"/>
    <row r="270" ht="18" customHeight="1">
      <c r="A270" s="280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18" customHeight="1">
      <c r="A271" s="281" t="inlineStr">
        <is>
          <t>Total</t>
        </is>
      </c>
      <c r="B271" s="282" t="n">
        <v>73871</v>
      </c>
    </row>
    <row r="272" ht="18" customHeight="1">
      <c r="A272" s="283" t="inlineStr">
        <is>
          <t>Top 5</t>
        </is>
      </c>
      <c r="C272" s="284" t="n"/>
      <c r="D272" s="284" t="n"/>
      <c r="E272" s="284" t="n"/>
      <c r="F272" s="284" t="n"/>
      <c r="G272" s="284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285" t="inlineStr">
        <is>
          <t>1er</t>
        </is>
      </c>
      <c r="B273" s="286" t="n">
        <v>30063</v>
      </c>
      <c r="C273" s="287" t="inlineStr">
        <is>
          <t>V39</t>
        </is>
      </c>
      <c r="D273" s="287" t="n"/>
      <c r="E273" s="287" t="n"/>
      <c r="F273" s="287" t="n"/>
      <c r="G273" s="287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285" t="inlineStr">
        <is>
          <t>2o</t>
        </is>
      </c>
      <c r="B274" s="286" t="n">
        <v>26674</v>
      </c>
      <c r="C274" s="287" t="n"/>
      <c r="D274" s="287" t="inlineStr">
        <is>
          <t>DEPOSITO</t>
        </is>
      </c>
      <c r="E274" s="287" t="n"/>
      <c r="F274" s="287" t="n"/>
      <c r="G274" s="287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285" t="inlineStr">
        <is>
          <t>3er</t>
        </is>
      </c>
      <c r="B275" s="286" t="n">
        <v>10724</v>
      </c>
      <c r="C275" s="287" t="n"/>
      <c r="D275" s="287" t="n"/>
      <c r="E275" s="287" t="inlineStr">
        <is>
          <t>JORGE</t>
        </is>
      </c>
      <c r="F275" s="287" t="n"/>
      <c r="G275" s="287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285" t="inlineStr">
        <is>
          <t>4o</t>
        </is>
      </c>
      <c r="B276" s="286" t="n">
        <v>7799</v>
      </c>
      <c r="C276" s="287" t="n"/>
      <c r="D276" s="287" t="n"/>
      <c r="E276" s="287" t="n"/>
      <c r="F276" s="287" t="inlineStr">
        <is>
          <t>EDUARDO</t>
        </is>
      </c>
      <c r="G276" s="287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285" t="inlineStr">
        <is>
          <t>5o</t>
        </is>
      </c>
      <c r="B277" s="286" t="n">
        <v>5743</v>
      </c>
      <c r="C277" s="287" t="n"/>
      <c r="D277" s="287" t="n"/>
      <c r="E277" s="287" t="n"/>
      <c r="F277" s="287" t="n"/>
      <c r="G277" s="287" t="inlineStr">
        <is>
          <t>EDGAR</t>
        </is>
      </c>
      <c r="H277" s="15" t="n"/>
      <c r="I277" s="15" t="n"/>
      <c r="J277" s="15" t="n"/>
      <c r="K277" s="15" t="n"/>
      <c r="L277" s="15" t="n"/>
      <c r="M277" s="15" t="n"/>
      <c r="N277" s="15" t="n"/>
    </row>
    <row r="278" ht="18" customHeight="1"/>
    <row r="279" ht="18" customHeight="1">
      <c r="A279" s="280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18" customHeight="1">
      <c r="A280" s="281" t="inlineStr">
        <is>
          <t>Total</t>
        </is>
      </c>
      <c r="B280" s="282" t="n">
        <v>1136869</v>
      </c>
    </row>
    <row r="281" ht="18" customHeight="1">
      <c r="A281" s="283" t="inlineStr">
        <is>
          <t>Top 5</t>
        </is>
      </c>
      <c r="C281" s="284" t="n"/>
      <c r="D281" s="284" t="n"/>
      <c r="E281" s="284" t="n"/>
      <c r="F281" s="284" t="n"/>
      <c r="G281" s="284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285" t="inlineStr">
        <is>
          <t>1er</t>
        </is>
      </c>
      <c r="B282" s="286" t="n">
        <v>246701</v>
      </c>
      <c r="C282" s="287" t="inlineStr">
        <is>
          <t>DEPOSITO</t>
        </is>
      </c>
      <c r="D282" s="287" t="n"/>
      <c r="E282" s="287" t="n"/>
      <c r="F282" s="287" t="n"/>
      <c r="G282" s="287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285" t="inlineStr">
        <is>
          <t>2o</t>
        </is>
      </c>
      <c r="B283" s="286" t="n">
        <v>185092</v>
      </c>
      <c r="C283" s="287" t="n"/>
      <c r="D283" s="287" t="inlineStr">
        <is>
          <t>EDGAR</t>
        </is>
      </c>
      <c r="E283" s="287" t="n"/>
      <c r="F283" s="287" t="n"/>
      <c r="G283" s="287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285" t="inlineStr">
        <is>
          <t>3er</t>
        </is>
      </c>
      <c r="B284" s="286" t="n">
        <v>129392</v>
      </c>
      <c r="C284" s="287" t="n"/>
      <c r="D284" s="287" t="n"/>
      <c r="E284" s="287" t="inlineStr">
        <is>
          <t>JORGE</t>
        </is>
      </c>
      <c r="F284" s="287" t="n"/>
      <c r="G284" s="287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285" t="inlineStr">
        <is>
          <t>4o</t>
        </is>
      </c>
      <c r="B285" s="286" t="n">
        <v>117118</v>
      </c>
      <c r="C285" s="287" t="n"/>
      <c r="D285" s="287" t="n"/>
      <c r="E285" s="287" t="n"/>
      <c r="F285" s="287" t="inlineStr">
        <is>
          <t>FRANCISCO</t>
        </is>
      </c>
      <c r="G285" s="287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285" t="inlineStr">
        <is>
          <t>5o</t>
        </is>
      </c>
      <c r="B286" s="286" t="n">
        <v>89557</v>
      </c>
      <c r="C286" s="287" t="n"/>
      <c r="D286" s="287" t="n"/>
      <c r="E286" s="287" t="n"/>
      <c r="F286" s="287" t="n"/>
      <c r="G286" s="287" t="inlineStr">
        <is>
          <t>V39</t>
        </is>
      </c>
      <c r="H286" s="15" t="n"/>
      <c r="I286" s="15" t="n"/>
      <c r="J286" s="15" t="n"/>
      <c r="K286" s="15" t="n"/>
      <c r="L286" s="15" t="n"/>
      <c r="M286" s="15" t="n"/>
      <c r="N286" s="15" t="n"/>
    </row>
    <row r="287" ht="18" customHeight="1"/>
    <row r="288" ht="18" customHeight="1">
      <c r="A288" s="280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18" customHeight="1">
      <c r="A289" s="281" t="inlineStr">
        <is>
          <t>Total</t>
        </is>
      </c>
      <c r="B289" s="282" t="n">
        <v>2689</v>
      </c>
    </row>
    <row r="290" ht="18" customHeight="1">
      <c r="A290" s="283" t="inlineStr">
        <is>
          <t>Top 5</t>
        </is>
      </c>
      <c r="C290" s="284" t="n"/>
      <c r="D290" s="284" t="n"/>
      <c r="E290" s="284" t="n"/>
      <c r="F290" s="284" t="n"/>
      <c r="G290" s="284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285" t="inlineStr">
        <is>
          <t>1er</t>
        </is>
      </c>
      <c r="B291" s="286" t="n">
        <v>2130</v>
      </c>
      <c r="C291" s="287" t="inlineStr">
        <is>
          <t>V55</t>
        </is>
      </c>
      <c r="D291" s="287" t="n"/>
      <c r="E291" s="287" t="n"/>
      <c r="F291" s="287" t="n"/>
      <c r="G291" s="287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285" t="inlineStr">
        <is>
          <t>2o</t>
        </is>
      </c>
      <c r="B292" s="286" t="n">
        <v>559</v>
      </c>
      <c r="C292" s="287" t="n"/>
      <c r="D292" s="287" t="inlineStr">
        <is>
          <t>DEPOSITO</t>
        </is>
      </c>
      <c r="E292" s="287" t="n"/>
      <c r="F292" s="287" t="n"/>
      <c r="G292" s="287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285" t="inlineStr">
        <is>
          <t>3er</t>
        </is>
      </c>
      <c r="B293" s="286" t="n"/>
      <c r="C293" s="287" t="n"/>
      <c r="D293" s="287" t="n"/>
      <c r="E293" s="287" t="n"/>
      <c r="F293" s="287" t="n"/>
      <c r="G293" s="287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285" t="inlineStr">
        <is>
          <t>4o</t>
        </is>
      </c>
      <c r="B294" s="286" t="n"/>
      <c r="C294" s="287" t="n"/>
      <c r="D294" s="287" t="n"/>
      <c r="E294" s="287" t="n"/>
      <c r="F294" s="287" t="n"/>
      <c r="G294" s="287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285" t="inlineStr">
        <is>
          <t>5o</t>
        </is>
      </c>
      <c r="B295" s="286" t="n"/>
      <c r="C295" s="287" t="n"/>
      <c r="D295" s="287" t="n"/>
      <c r="E295" s="287" t="n"/>
      <c r="F295" s="287" t="n"/>
      <c r="G295" s="287" t="n"/>
      <c r="H295" s="15" t="n"/>
      <c r="I295" s="15" t="n"/>
      <c r="J295" s="15" t="n"/>
      <c r="K295" s="15" t="n"/>
      <c r="L295" s="15" t="n"/>
      <c r="M295" s="15" t="n"/>
      <c r="N295" s="15" t="n"/>
    </row>
    <row r="296" ht="18" customHeight="1"/>
    <row r="297" ht="18" customHeight="1">
      <c r="A297" s="280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 ht="18" customHeight="1">
      <c r="A298" s="281" t="inlineStr">
        <is>
          <t>Proyección ABRIL</t>
        </is>
      </c>
      <c r="B298" s="282" t="n">
        <v>1031832</v>
      </c>
    </row>
    <row r="299" ht="18" customHeight="1"/>
    <row r="300" ht="18" customHeight="1"/>
    <row r="301" ht="24" customHeight="1">
      <c r="A301" s="277" t="inlineStr">
        <is>
          <t>MAYO 2026</t>
        </is>
      </c>
    </row>
    <row r="302" ht="1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 ht="18" customHeight="1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 ht="18" customHeight="1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 ht="18" customHeight="1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 ht="18" customHeight="1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18" customHeight="1"/>
    <row r="308" ht="18" customHeight="1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18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18" customHeight="1"/>
    <row r="317" ht="18" customHeight="1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18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2026-05-22T18:27:13Z</dcterms:modified>
</cp:coreProperties>
</file>