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GUÍA KPIs" sheetId="2" state="visible" r:id="rId2"/>
    <sheet xmlns:r="http://schemas.openxmlformats.org/officeDocument/2006/relationships" name="ESTADISTICA 2026" sheetId="3" state="visible" r:id="rId3"/>
  </sheets>
  <definedNames>
    <definedName name="_xlnm.Print_Titles" localSheetId="2">'ESTADISTICA 2026'!$1:$3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&quot;$&quot;#,##0.00"/>
    <numFmt numFmtId="165" formatCode="0.0%"/>
    <numFmt numFmtId="166" formatCode="$#,##0.00"/>
    <numFmt numFmtId="167" formatCode="$#,##0"/>
    <numFmt numFmtId="168" formatCode="0.0&quot;%&quot;"/>
  </numFmts>
  <fonts count="91">
    <font>
      <name val="Calibri"/>
      <family val="2"/>
      <color theme="1"/>
      <sz val="11"/>
      <scheme val="minor"/>
    </font>
    <font>
      <name val="Calibri"/>
      <b val="1"/>
      <color rgb="00C9A84C"/>
      <sz val="16"/>
    </font>
    <font>
      <name val="Calibri"/>
      <b val="1"/>
      <color rgb="00FFFFFF"/>
      <sz val="12"/>
    </font>
    <font>
      <name val="Calibri"/>
      <color rgb="00C9A84C"/>
      <sz val="11"/>
    </font>
    <font>
      <name val="Calibri"/>
      <b val="1"/>
      <color rgb="00C9A84C"/>
      <sz val="12"/>
    </font>
    <font>
      <name val="Calibri"/>
      <b val="1"/>
      <color rgb="001A1A1A"/>
      <sz val="9"/>
    </font>
    <font>
      <name val="Calibri"/>
      <b val="1"/>
      <color rgb="00C9A84C"/>
      <sz val="10"/>
    </font>
    <font>
      <name val="Calibri"/>
      <b val="1"/>
      <color rgb="00404040"/>
      <sz val="10"/>
    </font>
    <font>
      <name val="Calibri"/>
      <b val="1"/>
      <color rgb="001A1A1A"/>
      <sz val="10"/>
    </font>
    <font>
      <name val="Calibri"/>
      <color rgb="00404040"/>
      <sz val="10"/>
    </font>
    <font>
      <name val="Calibri"/>
      <b val="1"/>
      <color rgb="001A1A1A"/>
      <sz val="11"/>
    </font>
    <font>
      <name val="Calibri"/>
      <b val="1"/>
      <color rgb="00404040"/>
      <sz val="9"/>
    </font>
    <font>
      <name val="Calibri"/>
      <color rgb="00404040"/>
      <sz val="9"/>
    </font>
    <font>
      <name val="Calibri"/>
      <b val="1"/>
      <color rgb="00C9A84C"/>
      <sz val="13"/>
    </font>
    <font>
      <name val="Calibri"/>
      <b val="1"/>
      <color rgb="00FFFFFF"/>
      <sz val="9"/>
    </font>
    <font>
      <b val="1"/>
    </font>
    <font>
      <name val="Calibri"/>
      <b val="1"/>
      <color rgb="00000000"/>
      <sz val="10"/>
    </font>
    <font>
      <name val="Calibri"/>
      <b val="1"/>
      <color rgb="00FFFFFF"/>
      <sz val="11"/>
    </font>
    <font>
      <name val="Calibri"/>
      <b val="1"/>
      <color rgb="001F3864"/>
      <sz val="12"/>
    </font>
    <font>
      <name val="Calibri"/>
      <b val="1"/>
      <color rgb="00000000"/>
      <sz val="11"/>
    </font>
    <font>
      <name val="Calibri"/>
      <b val="1"/>
      <color rgb="00FFFFFF"/>
      <sz val="10"/>
    </font>
    <font>
      <name val="Calibri"/>
      <b val="1"/>
      <color rgb="001F3864"/>
      <sz val="11"/>
    </font>
    <font>
      <name val="Calibri"/>
      <b val="1"/>
      <color rgb="00375623"/>
      <sz val="11"/>
    </font>
    <font>
      <name val="Calibri"/>
      <i val="1"/>
      <color rgb="00375623"/>
      <sz val="9"/>
    </font>
    <font>
      <name val="Calibri"/>
      <b val="1"/>
      <color rgb="00C00000"/>
      <sz val="11"/>
    </font>
    <font>
      <name val="Calibri"/>
      <i val="1"/>
      <color rgb="00C00000"/>
      <sz val="9"/>
    </font>
    <font>
      <name val="Calibri"/>
      <b val="1"/>
      <color rgb="00FF8C00"/>
      <sz val="11"/>
    </font>
    <font>
      <name val="Calibri"/>
      <i val="1"/>
      <color rgb="00FF8C00"/>
      <sz val="9"/>
    </font>
    <font>
      <name val="Calibri"/>
      <b val="1"/>
      <color rgb="00F2F2F2"/>
      <sz val="11"/>
    </font>
    <font>
      <name val="Calibri"/>
      <i val="1"/>
      <color rgb="00F2F2F2"/>
      <sz val="9"/>
    </font>
    <font>
      <name val="Calibri"/>
      <i val="1"/>
      <color rgb="00FFFFFF"/>
      <sz val="9"/>
    </font>
    <font>
      <name val="Calibri"/>
      <color rgb="00000000"/>
      <sz val="10"/>
    </font>
    <font>
      <name val="Calibri"/>
      <b val="1"/>
      <color rgb="00C9A227"/>
      <sz val="20"/>
    </font>
    <font>
      <name val="Calibri"/>
      <b val="1"/>
      <color rgb="00FFFFFF"/>
      <sz val="13"/>
    </font>
    <font>
      <name val="Calibri"/>
      <b val="1"/>
      <color rgb="00FFD966"/>
      <sz val="11"/>
    </font>
    <font>
      <name val="Calibri"/>
      <b val="1"/>
      <color rgb="00000000"/>
      <sz val="15"/>
    </font>
    <font>
      <name val="Calibri"/>
      <i val="1"/>
      <color rgb="00808080"/>
      <sz val="8"/>
    </font>
    <font>
      <name val="Calibri"/>
      <b val="1"/>
      <color rgb="00C00000"/>
      <sz val="15"/>
    </font>
    <font>
      <name val="Calibri"/>
      <b val="1"/>
      <color rgb="00FF8C00"/>
      <sz val="15"/>
    </font>
    <font>
      <name val="Calibri"/>
      <b val="1"/>
      <color rgb="00375623"/>
      <sz val="15"/>
    </font>
    <font>
      <name val="Calibri"/>
      <b val="1"/>
      <color rgb="002E5FA3"/>
      <sz val="15"/>
    </font>
    <font>
      <name val="Calibri"/>
      <b val="1"/>
      <color rgb="00808080"/>
      <sz val="15"/>
    </font>
    <font>
      <name val="Calibri"/>
      <b val="1"/>
      <sz val="10"/>
    </font>
    <font>
      <name val="Calibri"/>
      <b val="1"/>
      <color rgb="00375623"/>
      <sz val="12"/>
    </font>
    <font>
      <name val="Calibri"/>
      <b val="1"/>
      <color rgb="00C00000"/>
      <sz val="12"/>
    </font>
    <font>
      <name val="Calibri"/>
      <b val="1"/>
      <color rgb="00FF8C00"/>
      <sz val="12"/>
    </font>
    <font>
      <name val="Calibri"/>
      <b val="1"/>
      <color rgb="00808080"/>
      <sz val="12"/>
    </font>
    <font>
      <name val="Calibri"/>
      <i val="1"/>
      <color rgb="00808080"/>
      <sz val="9"/>
    </font>
    <font>
      <name val="Calibri"/>
      <i val="1"/>
      <color rgb="00FFD966"/>
      <sz val="9"/>
    </font>
    <font>
      <name val="Calibri"/>
      <b val="1"/>
      <color rgb="00FFFFFF"/>
      <sz val="8"/>
    </font>
    <font>
      <name val="Calibri"/>
      <b val="1"/>
      <sz val="9"/>
    </font>
    <font>
      <name val="Calibri"/>
      <b val="1"/>
      <color rgb="001F3864"/>
      <sz val="9"/>
    </font>
    <font>
      <name val="Calibri"/>
      <sz val="9"/>
    </font>
    <font>
      <name val="Calibri"/>
      <sz val="10"/>
    </font>
    <font>
      <name val="Calibri"/>
      <color rgb="00FFD966"/>
      <sz val="8"/>
    </font>
    <font>
      <name val="Calibri"/>
      <i val="1"/>
      <color rgb="001F3864"/>
      <sz val="9"/>
    </font>
    <font>
      <name val="Calibri"/>
      <b val="1"/>
      <color rgb="002E5FA3"/>
      <sz val="12"/>
    </font>
    <font>
      <name val="Calibri"/>
      <i val="1"/>
      <color rgb="002E5FA3"/>
      <sz val="9"/>
    </font>
    <font>
      <name val="Calibri"/>
      <b val="1"/>
      <color rgb="00C9A227"/>
      <sz val="18"/>
    </font>
    <font>
      <name val="Calibri"/>
      <i val="1"/>
      <color rgb="00808080"/>
      <sz val="10"/>
    </font>
    <font>
      <name val="Calibri"/>
      <b val="1"/>
      <color rgb="001F3864"/>
      <sz val="10"/>
    </font>
    <font>
      <name val="Calibri"/>
      <color rgb="00000000"/>
      <sz val="9"/>
    </font>
    <font>
      <name val="Calibri"/>
      <color rgb="00808080"/>
      <sz val="8"/>
    </font>
    <font>
      <name val="Calibri"/>
      <b val="1"/>
      <color rgb="00000000"/>
      <sz val="14"/>
    </font>
    <font>
      <name val="Calibri"/>
      <b val="1"/>
      <color rgb="002E5FA3"/>
      <sz val="14"/>
    </font>
    <font>
      <name val="Calibri"/>
      <b val="1"/>
      <color rgb="00375623"/>
      <sz val="14"/>
    </font>
    <font>
      <name val="Calibri"/>
      <b val="1"/>
      <color rgb="00C00000"/>
      <sz val="14"/>
    </font>
    <font>
      <name val="Calibri"/>
      <b val="1"/>
      <color rgb="00FF8C00"/>
      <sz val="14"/>
    </font>
    <font>
      <name val="Calibri"/>
      <b val="1"/>
      <color rgb="00808080"/>
      <sz val="14"/>
    </font>
    <font>
      <b val="1"/>
      <color rgb="00FFFFFF"/>
      <sz val="10"/>
    </font>
    <font>
      <b val="1"/>
      <color rgb="00C9A227"/>
      <sz val="12"/>
    </font>
    <font>
      <b val="1"/>
      <color rgb="001F3864"/>
      <sz val="10"/>
    </font>
    <font>
      <b val="1"/>
      <color rgb="001F3864"/>
      <sz val="11"/>
    </font>
    <font>
      <b val="1"/>
      <color rgb="00000000"/>
      <sz val="9"/>
    </font>
    <font>
      <color rgb="00595959"/>
      <sz val="9"/>
    </font>
    <font>
      <color rgb="00000000"/>
      <sz val="10"/>
    </font>
    <font>
      <b val="1"/>
      <color rgb="002E5FA3"/>
      <sz val="10"/>
    </font>
    <font>
      <b val="1"/>
      <color rgb="00C9A227"/>
      <sz val="22"/>
    </font>
    <font>
      <b val="1"/>
      <color rgb="00FFFFFF"/>
      <sz val="14"/>
    </font>
    <font>
      <b val="1"/>
      <color rgb="00FFFFFF"/>
      <sz val="12"/>
    </font>
    <font>
      <b val="1"/>
      <color rgb="001F3864"/>
      <sz val="14"/>
    </font>
    <font>
      <b val="1"/>
      <color rgb="00FFFFFF"/>
      <sz val="11"/>
    </font>
    <font>
      <b val="1"/>
      <color rgb="001F3864"/>
      <sz val="20"/>
    </font>
    <font>
      <i val="1"/>
      <color rgb="00595959"/>
      <sz val="10"/>
    </font>
    <font>
      <sz val="10"/>
    </font>
    <font>
      <sz val="12"/>
    </font>
    <font>
      <color rgb="002E5FA3"/>
      <sz val="12"/>
    </font>
    <font>
      <i val="1"/>
      <color rgb="00595959"/>
      <sz val="9"/>
    </font>
    <font>
      <b val="1"/>
      <sz val="10"/>
    </font>
    <font>
      <b val="1"/>
      <sz val="12"/>
    </font>
    <font>
      <b val="1"/>
      <color rgb="002E5FA3"/>
      <sz val="12"/>
    </font>
  </fonts>
  <fills count="31">
    <fill>
      <patternFill/>
    </fill>
    <fill>
      <patternFill patternType="gray125"/>
    </fill>
    <fill>
      <patternFill patternType="solid">
        <fgColor rgb="001F3C6E"/>
      </patternFill>
    </fill>
    <fill>
      <patternFill patternType="solid">
        <fgColor rgb="002E5090"/>
      </patternFill>
    </fill>
    <fill>
      <patternFill patternType="solid">
        <fgColor rgb="00C9A84C"/>
      </patternFill>
    </fill>
    <fill>
      <patternFill patternType="solid">
        <fgColor rgb="00D6E4F0"/>
      </patternFill>
    </fill>
    <fill>
      <patternFill patternType="solid">
        <fgColor rgb="00F5E6B8"/>
      </patternFill>
    </fill>
    <fill>
      <patternFill patternType="solid">
        <fgColor rgb="00FFFFFF"/>
      </patternFill>
    </fill>
    <fill>
      <patternFill patternType="solid">
        <fgColor rgb="00F2F2F2"/>
      </patternFill>
    </fill>
    <fill>
      <patternFill patternType="solid">
        <fgColor rgb="00FFD966"/>
      </patternFill>
    </fill>
    <fill>
      <patternFill patternType="solid">
        <fgColor rgb="001F3864"/>
      </patternFill>
    </fill>
    <fill>
      <patternFill patternType="solid">
        <fgColor rgb="002E5FA3"/>
      </patternFill>
    </fill>
    <fill>
      <patternFill patternType="solid">
        <fgColor rgb="00E2F0D9"/>
      </patternFill>
    </fill>
    <fill>
      <patternFill patternType="solid">
        <fgColor rgb="00FFE0E0"/>
      </patternFill>
    </fill>
    <fill>
      <patternFill patternType="solid">
        <fgColor rgb="00FFF0D0"/>
      </patternFill>
    </fill>
    <fill>
      <patternFill patternType="solid">
        <fgColor rgb="00BDD7EE"/>
      </patternFill>
    </fill>
    <fill>
      <patternFill patternType="solid">
        <fgColor rgb="00C00000"/>
      </patternFill>
    </fill>
    <fill>
      <patternFill patternType="solid">
        <fgColor rgb="00FF8C00"/>
      </patternFill>
    </fill>
    <fill>
      <patternFill patternType="solid">
        <fgColor rgb="00375623"/>
      </patternFill>
    </fill>
    <fill>
      <patternFill patternType="solid">
        <fgColor rgb="00DAE8F7"/>
      </patternFill>
    </fill>
    <fill>
      <patternFill patternType="solid">
        <fgColor rgb="00808080"/>
      </patternFill>
    </fill>
    <fill>
      <patternFill patternType="solid">
        <fgColor rgb="00C9A227"/>
      </patternFill>
    </fill>
    <fill>
      <patternFill patternType="solid">
        <fgColor rgb="001F3864"/>
        <bgColor rgb="001F3864"/>
      </patternFill>
    </fill>
    <fill>
      <patternFill patternType="solid">
        <fgColor rgb="002E5FA3"/>
        <bgColor rgb="002E5FA3"/>
      </patternFill>
    </fill>
    <fill>
      <patternFill patternType="solid">
        <fgColor rgb="00BDD7EE"/>
        <bgColor rgb="00BDD7EE"/>
      </patternFill>
    </fill>
    <fill>
      <patternFill patternType="solid">
        <fgColor rgb="00F2F2F2"/>
        <bgColor rgb="00F2F2F2"/>
      </patternFill>
    </fill>
    <fill>
      <patternFill patternType="solid">
        <fgColor rgb="00375623"/>
        <bgColor rgb="00375623"/>
      </patternFill>
    </fill>
    <fill>
      <patternFill patternType="solid">
        <fgColor rgb="00DAE8F7"/>
        <bgColor rgb="00DAE8F7"/>
      </patternFill>
    </fill>
    <fill>
      <patternFill patternType="solid">
        <fgColor rgb="00E2F0D9"/>
        <bgColor rgb="00E2F0D9"/>
      </patternFill>
    </fill>
    <fill>
      <patternFill patternType="solid">
        <fgColor rgb="00F5F5F5"/>
        <bgColor rgb="00F5F5F5"/>
      </patternFill>
    </fill>
    <fill>
      <patternFill patternType="solid">
        <fgColor rgb="00D9D9D9"/>
        <bgColor rgb="00D9D9D9"/>
      </patternFill>
    </fill>
  </fills>
  <borders count="58">
    <border>
      <left/>
      <right/>
      <top/>
      <bottom/>
      <diagonal/>
    </border>
    <border>
      <bottom style="medium">
        <color rgb="00C9A84C"/>
      </bottom>
    </border>
    <border>
      <left/>
      <right/>
      <top/>
      <bottom style="medium">
        <color rgb="00C9A84C"/>
      </bottom>
      <diagonal/>
    </border>
    <border>
      <right/>
      <bottom style="medium">
        <color rgb="00C9A84C"/>
      </bottom>
    </border>
    <border>
      <left style="thin">
        <color rgb="00C9A227"/>
      </left>
      <right style="thin">
        <color rgb="00C9A227"/>
      </right>
      <top style="thin">
        <color rgb="00C9A227"/>
      </top>
      <bottom style="thin">
        <color rgb="00C9A227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/>
      <right/>
      <top style="thin">
        <color rgb="00DDDDDD"/>
      </top>
      <bottom/>
      <diagonal/>
    </border>
    <border>
      <left/>
      <right style="thin">
        <color rgb="00DDDDDD"/>
      </right>
      <top style="thin">
        <color rgb="00DDDDDD"/>
      </top>
      <bottom/>
      <diagonal/>
    </border>
    <border>
      <left/>
      <right/>
      <top style="thin">
        <color rgb="00DDDDDD"/>
      </top>
      <bottom style="thin">
        <color rgb="00DDDDDD"/>
      </bottom>
      <diagonal/>
    </border>
    <border>
      <left/>
      <right style="thin">
        <color rgb="00DDDDDD"/>
      </right>
      <top style="thin">
        <color rgb="00DDDDDD"/>
      </top>
      <bottom style="thin">
        <color rgb="00DDDDDD"/>
      </bottom>
      <diagonal/>
    </border>
    <border>
      <left style="thin">
        <color rgb="002E5FA3"/>
      </left>
      <right style="thin">
        <color rgb="002E5FA3"/>
      </right>
      <top style="thin">
        <color rgb="002E5FA3"/>
      </top>
      <bottom style="thin">
        <color rgb="002E5FA3"/>
      </bottom>
    </border>
    <border>
      <left/>
      <right/>
      <top style="thin">
        <color rgb="00C9A227"/>
      </top>
      <bottom/>
      <diagonal/>
    </border>
    <border>
      <left/>
      <right style="thin">
        <color rgb="00C9A227"/>
      </right>
      <top style="thin">
        <color rgb="00C9A227"/>
      </top>
      <bottom/>
      <diagonal/>
    </border>
    <border>
      <left/>
      <right/>
      <top style="thin">
        <color rgb="00C9A227"/>
      </top>
      <bottom style="thin">
        <color rgb="00C9A227"/>
      </bottom>
      <diagonal/>
    </border>
    <border>
      <left/>
      <right style="thin">
        <color rgb="00C9A227"/>
      </right>
      <top style="thin">
        <color rgb="00C9A227"/>
      </top>
      <bottom style="thin">
        <color rgb="00C9A227"/>
      </bottom>
      <diagonal/>
    </border>
    <border>
      <left style="medium">
        <color rgb="00C9A227"/>
      </left>
      <right style="medium">
        <color rgb="00C9A227"/>
      </right>
      <top style="medium">
        <color rgb="00C9A227"/>
      </top>
      <bottom style="medium">
        <color rgb="00C9A227"/>
      </bottom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medium">
        <color rgb="00C00000"/>
      </left>
      <right style="medium">
        <color rgb="00C00000"/>
      </right>
      <top style="medium">
        <color rgb="00C00000"/>
      </top>
      <bottom style="medium">
        <color rgb="00C00000"/>
      </bottom>
    </border>
    <border>
      <left style="medium">
        <color rgb="00FF8C00"/>
      </left>
      <right style="medium">
        <color rgb="00FF8C00"/>
      </right>
      <top style="medium">
        <color rgb="00FF8C00"/>
      </top>
      <bottom style="medium">
        <color rgb="00FF8C00"/>
      </bottom>
    </border>
    <border>
      <left style="medium">
        <color rgb="00375623"/>
      </left>
      <right style="medium">
        <color rgb="00375623"/>
      </right>
      <top style="medium">
        <color rgb="00375623"/>
      </top>
      <bottom style="medium">
        <color rgb="00375623"/>
      </bottom>
    </border>
    <border>
      <left style="medium">
        <color rgb="002E5FA3"/>
      </left>
      <right style="medium">
        <color rgb="002E5FA3"/>
      </right>
      <top style="medium">
        <color rgb="002E5FA3"/>
      </top>
      <bottom style="medium">
        <color rgb="002E5FA3"/>
      </bottom>
    </border>
    <border>
      <left style="medium">
        <color rgb="00808080"/>
      </left>
      <right style="medium">
        <color rgb="00808080"/>
      </right>
      <top style="medium">
        <color rgb="00808080"/>
      </top>
      <bottom style="medium">
        <color rgb="00808080"/>
      </bottom>
    </border>
    <border>
      <left/>
      <right/>
      <top style="thin">
        <color rgb="002E5FA3"/>
      </top>
      <bottom/>
      <diagonal/>
    </border>
    <border>
      <left/>
      <right style="thin">
        <color rgb="002E5FA3"/>
      </right>
      <top style="thin">
        <color rgb="002E5FA3"/>
      </top>
      <bottom/>
      <diagonal/>
    </border>
    <border>
      <left/>
      <right/>
      <top style="thin">
        <color rgb="002E5FA3"/>
      </top>
      <bottom style="thin">
        <color rgb="002E5FA3"/>
      </bottom>
      <diagonal/>
    </border>
    <border>
      <left/>
      <right style="thin">
        <color rgb="002E5FA3"/>
      </right>
      <top style="thin">
        <color rgb="002E5FA3"/>
      </top>
      <bottom style="thin">
        <color rgb="002E5FA3"/>
      </bottom>
      <diagonal/>
    </border>
    <border>
      <left style="thin">
        <color rgb="001F3864"/>
      </left>
      <right style="thin">
        <color rgb="001F3864"/>
      </right>
      <top style="thin">
        <color rgb="001F3864"/>
      </top>
      <bottom style="thin">
        <color rgb="001F3864"/>
      </bottom>
    </border>
    <border>
      <left style="thin">
        <color rgb="00C00000"/>
      </left>
      <right style="thin">
        <color rgb="00C00000"/>
      </right>
      <top style="thin">
        <color rgb="00C00000"/>
      </top>
      <bottom style="thin">
        <color rgb="00C00000"/>
      </bottom>
    </border>
    <border>
      <left style="thin">
        <color rgb="00FF8C00"/>
      </left>
      <right style="thin">
        <color rgb="00FF8C00"/>
      </right>
      <top style="thin">
        <color rgb="00FF8C00"/>
      </top>
      <bottom style="thin">
        <color rgb="00FF8C00"/>
      </bottom>
    </border>
    <border>
      <left style="thin">
        <color rgb="00375623"/>
      </left>
      <right style="thin">
        <color rgb="00375623"/>
      </right>
      <top style="thin">
        <color rgb="00375623"/>
      </top>
      <bottom style="thin">
        <color rgb="00375623"/>
      </bottom>
    </border>
    <border>
      <left/>
      <right/>
      <top style="medium">
        <color rgb="00C9A227"/>
      </top>
      <bottom/>
      <diagonal/>
    </border>
    <border>
      <left/>
      <right style="medium">
        <color rgb="00C9A227"/>
      </right>
      <top style="medium">
        <color rgb="00C9A227"/>
      </top>
      <bottom/>
      <diagonal/>
    </border>
    <border>
      <left/>
      <right style="medium">
        <color rgb="00C9A227"/>
      </right>
      <top style="medium">
        <color rgb="00C9A227"/>
      </top>
      <bottom style="medium">
        <color rgb="00C9A227"/>
      </bottom>
      <diagonal/>
    </border>
    <border>
      <left/>
      <right/>
      <top style="medium">
        <color rgb="002E5FA3"/>
      </top>
      <bottom/>
      <diagonal/>
    </border>
    <border>
      <left/>
      <right style="medium">
        <color rgb="002E5FA3"/>
      </right>
      <top style="medium">
        <color rgb="002E5FA3"/>
      </top>
      <bottom/>
      <diagonal/>
    </border>
    <border>
      <left/>
      <right/>
      <top style="medium">
        <color rgb="002E5FA3"/>
      </top>
      <bottom style="medium">
        <color rgb="002E5FA3"/>
      </bottom>
      <diagonal/>
    </border>
    <border>
      <left/>
      <right style="medium">
        <color rgb="002E5FA3"/>
      </right>
      <top style="medium">
        <color rgb="002E5FA3"/>
      </top>
      <bottom style="medium">
        <color rgb="002E5FA3"/>
      </bottom>
      <diagonal/>
    </border>
    <border>
      <left/>
      <right/>
      <top style="medium">
        <color rgb="001F3864"/>
      </top>
      <bottom/>
      <diagonal/>
    </border>
    <border>
      <left/>
      <right style="medium">
        <color rgb="001F3864"/>
      </right>
      <top style="medium">
        <color rgb="001F3864"/>
      </top>
      <bottom/>
      <diagonal/>
    </border>
    <border>
      <left/>
      <right/>
      <top style="medium">
        <color rgb="001F3864"/>
      </top>
      <bottom style="medium">
        <color rgb="001F3864"/>
      </bottom>
      <diagonal/>
    </border>
    <border>
      <left/>
      <right style="medium">
        <color rgb="001F3864"/>
      </right>
      <top style="medium">
        <color rgb="001F3864"/>
      </top>
      <bottom style="medium">
        <color rgb="001F3864"/>
      </bottom>
      <diagonal/>
    </border>
    <border>
      <left/>
      <right/>
      <top style="medium">
        <color rgb="00C9A227"/>
      </top>
      <bottom style="medium">
        <color rgb="00C9A227"/>
      </bottom>
      <diagonal/>
    </border>
    <border>
      <left/>
      <right/>
      <top style="medium">
        <color rgb="00C00000"/>
      </top>
      <bottom/>
      <diagonal/>
    </border>
    <border>
      <left/>
      <right style="medium">
        <color rgb="00C00000"/>
      </right>
      <top style="medium">
        <color rgb="00C00000"/>
      </top>
      <bottom/>
      <diagonal/>
    </border>
    <border>
      <left/>
      <right/>
      <top style="medium">
        <color rgb="00C00000"/>
      </top>
      <bottom style="medium">
        <color rgb="00C00000"/>
      </bottom>
      <diagonal/>
    </border>
    <border>
      <left/>
      <right style="medium">
        <color rgb="00C00000"/>
      </right>
      <top style="medium">
        <color rgb="00C00000"/>
      </top>
      <bottom style="medium">
        <color rgb="00C00000"/>
      </bottom>
      <diagonal/>
    </border>
    <border>
      <left/>
      <right/>
      <top style="medium">
        <color rgb="00375623"/>
      </top>
      <bottom/>
      <diagonal/>
    </border>
    <border>
      <left/>
      <right style="medium">
        <color rgb="00375623"/>
      </right>
      <top style="medium">
        <color rgb="00375623"/>
      </top>
      <bottom/>
      <diagonal/>
    </border>
    <border>
      <left/>
      <right/>
      <top style="medium">
        <color rgb="00375623"/>
      </top>
      <bottom style="medium">
        <color rgb="00375623"/>
      </bottom>
      <diagonal/>
    </border>
    <border>
      <left/>
      <right style="medium">
        <color rgb="00375623"/>
      </right>
      <top style="medium">
        <color rgb="00375623"/>
      </top>
      <bottom style="medium">
        <color rgb="00375623"/>
      </bottom>
      <diagonal/>
    </border>
    <border>
      <left/>
      <right/>
      <top style="medium">
        <color rgb="00808080"/>
      </top>
      <bottom/>
      <diagonal/>
    </border>
    <border>
      <left/>
      <right style="medium">
        <color rgb="00808080"/>
      </right>
      <top style="medium">
        <color rgb="00808080"/>
      </top>
      <bottom/>
      <diagonal/>
    </border>
    <border>
      <left/>
      <right/>
      <top style="medium">
        <color rgb="00808080"/>
      </top>
      <bottom style="medium">
        <color rgb="00808080"/>
      </bottom>
      <diagonal/>
    </border>
    <border>
      <left/>
      <right style="medium">
        <color rgb="00808080"/>
      </right>
      <top style="medium">
        <color rgb="00808080"/>
      </top>
      <bottom style="medium">
        <color rgb="00808080"/>
      </bottom>
      <diagonal/>
    </border>
    <border>
      <left/>
      <right/>
      <top style="medium">
        <color rgb="00FF8C00"/>
      </top>
      <bottom/>
      <diagonal/>
    </border>
    <border>
      <left/>
      <right style="medium">
        <color rgb="00FF8C00"/>
      </right>
      <top style="medium">
        <color rgb="00FF8C00"/>
      </top>
      <bottom/>
      <diagonal/>
    </border>
    <border>
      <left/>
      <right/>
      <top style="medium">
        <color rgb="00FF8C00"/>
      </top>
      <bottom style="medium">
        <color rgb="00FF8C00"/>
      </bottom>
      <diagonal/>
    </border>
    <border>
      <left/>
      <right style="medium">
        <color rgb="00FF8C00"/>
      </right>
      <top style="medium">
        <color rgb="00FF8C00"/>
      </top>
      <bottom style="medium">
        <color rgb="00FF8C00"/>
      </bottom>
      <diagonal/>
    </border>
  </borders>
  <cellStyleXfs count="1">
    <xf numFmtId="0" fontId="0" fillId="0" borderId="0"/>
  </cellStyleXfs>
  <cellXfs count="33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 indent="1"/>
    </xf>
    <xf numFmtId="0" fontId="0" fillId="0" borderId="1" pivotButton="0" quotePrefix="0" xfId="0"/>
    <xf numFmtId="0" fontId="7" fillId="5" borderId="0" applyAlignment="1" pivotButton="0" quotePrefix="0" xfId="0">
      <alignment horizontal="left" vertical="center"/>
    </xf>
    <xf numFmtId="0" fontId="8" fillId="5" borderId="0" applyAlignment="1" pivotButton="0" quotePrefix="0" xfId="0">
      <alignment horizontal="center" vertical="center"/>
    </xf>
    <xf numFmtId="0" fontId="9" fillId="5" borderId="0" applyAlignment="1" pivotButton="0" quotePrefix="0" xfId="0">
      <alignment horizontal="center" vertical="center"/>
    </xf>
    <xf numFmtId="164" fontId="10" fillId="5" borderId="0" applyAlignment="1" pivotButton="0" quotePrefix="0" xfId="0">
      <alignment horizontal="center" vertical="center"/>
    </xf>
    <xf numFmtId="0" fontId="11" fillId="6" borderId="0" applyAlignment="1" pivotButton="0" quotePrefix="0" xfId="0">
      <alignment horizontal="center" vertical="center"/>
    </xf>
    <xf numFmtId="0" fontId="12" fillId="6" borderId="0" applyAlignment="1" pivotButton="0" quotePrefix="0" xfId="0">
      <alignment horizontal="center" vertical="center"/>
    </xf>
    <xf numFmtId="0" fontId="12" fillId="7" borderId="0" applyAlignment="1" pivotButton="0" quotePrefix="0" xfId="0">
      <alignment horizontal="left" vertical="center"/>
    </xf>
    <xf numFmtId="0" fontId="12" fillId="7" borderId="0" applyAlignment="1" pivotButton="0" quotePrefix="0" xfId="0">
      <alignment horizontal="center" vertical="center"/>
    </xf>
    <xf numFmtId="0" fontId="7" fillId="8" borderId="0" applyAlignment="1" pivotButton="0" quotePrefix="0" xfId="0">
      <alignment horizontal="left" vertical="center"/>
    </xf>
    <xf numFmtId="164" fontId="10" fillId="8" borderId="0" applyAlignment="1" pivotButton="0" quotePrefix="0" xfId="0">
      <alignment horizontal="center" vertical="center"/>
    </xf>
    <xf numFmtId="0" fontId="6" fillId="4" borderId="1" applyAlignment="1" pivotButton="0" quotePrefix="0" xfId="0">
      <alignment horizontal="left" vertical="center" indent="1"/>
    </xf>
    <xf numFmtId="0" fontId="7" fillId="6" borderId="0" applyAlignment="1" pivotButton="0" quotePrefix="0" xfId="0">
      <alignment horizontal="left" vertical="center"/>
    </xf>
    <xf numFmtId="164" fontId="10" fillId="6" borderId="0" applyAlignment="1" pivotButton="0" quotePrefix="0" xfId="0">
      <alignment horizontal="center" vertical="center"/>
    </xf>
    <xf numFmtId="0" fontId="13" fillId="2" borderId="0" applyAlignment="1" pivotButton="0" quotePrefix="0" xfId="0">
      <alignment horizontal="center" vertical="center"/>
    </xf>
    <xf numFmtId="0" fontId="14" fillId="3" borderId="0" applyAlignment="1" pivotButton="0" quotePrefix="0" xfId="0">
      <alignment horizontal="center" vertical="center"/>
    </xf>
    <xf numFmtId="0" fontId="11" fillId="5" borderId="0" applyAlignment="1" pivotButton="0" quotePrefix="0" xfId="0">
      <alignment horizontal="left" vertical="center"/>
    </xf>
    <xf numFmtId="0" fontId="12" fillId="5" borderId="0" applyAlignment="1" pivotButton="0" quotePrefix="0" xfId="0">
      <alignment horizontal="center" vertical="center"/>
    </xf>
    <xf numFmtId="0" fontId="11" fillId="8" borderId="0" applyAlignment="1" pivotButton="0" quotePrefix="0" xfId="0">
      <alignment horizontal="left" vertical="center"/>
    </xf>
    <xf numFmtId="0" fontId="12" fillId="8" borderId="0" applyAlignment="1" pivotButton="0" quotePrefix="0" xfId="0">
      <alignment horizontal="center" vertical="center"/>
    </xf>
    <xf numFmtId="0" fontId="6" fillId="2" borderId="0" applyAlignment="1" pivotButton="0" quotePrefix="0" xfId="0">
      <alignment horizontal="center" vertical="center"/>
    </xf>
    <xf numFmtId="0" fontId="0" fillId="0" borderId="2" pivotButton="0" quotePrefix="0" xfId="0"/>
    <xf numFmtId="164" fontId="15" fillId="5" borderId="0" applyAlignment="1" pivotButton="0" quotePrefix="0" xfId="0">
      <alignment horizontal="center" vertical="center"/>
    </xf>
    <xf numFmtId="164" fontId="12" fillId="7" borderId="0" applyAlignment="1" pivotButton="0" quotePrefix="0" xfId="0">
      <alignment horizontal="center" vertical="center"/>
    </xf>
    <xf numFmtId="165" fontId="12" fillId="7" borderId="0" applyAlignment="1" pivotButton="0" quotePrefix="0" xfId="0">
      <alignment horizontal="center" vertical="center"/>
    </xf>
    <xf numFmtId="164" fontId="15" fillId="8" borderId="0" applyAlignment="1" pivotButton="0" quotePrefix="0" xfId="0">
      <alignment horizontal="center" vertical="center"/>
    </xf>
    <xf numFmtId="164" fontId="15" fillId="6" borderId="0" applyAlignment="1" pivotButton="0" quotePrefix="0" xfId="0">
      <alignment horizontal="center" vertical="center"/>
    </xf>
    <xf numFmtId="0" fontId="16" fillId="9" borderId="4" applyAlignment="1" pivotButton="0" quotePrefix="0" xfId="0">
      <alignment horizontal="center" vertical="center"/>
    </xf>
    <xf numFmtId="0" fontId="6" fillId="3" borderId="3" applyAlignment="1" pivotButton="0" quotePrefix="0" xfId="0">
      <alignment horizontal="left" vertical="center" indent="1"/>
    </xf>
    <xf numFmtId="0" fontId="17" fillId="10" borderId="5" applyAlignment="1" pivotButton="0" quotePrefix="0" xfId="0">
      <alignment horizontal="left" vertical="center"/>
    </xf>
    <xf numFmtId="0" fontId="9" fillId="7" borderId="5" applyAlignment="1" pivotButton="0" quotePrefix="0" xfId="0">
      <alignment horizontal="center" vertical="center"/>
    </xf>
    <xf numFmtId="0" fontId="0" fillId="7" borderId="5" pivotButton="0" quotePrefix="0" xfId="0"/>
    <xf numFmtId="0" fontId="7" fillId="7" borderId="5" applyAlignment="1" pivotButton="0" quotePrefix="0" xfId="0">
      <alignment horizontal="left" vertical="center"/>
    </xf>
    <xf numFmtId="0" fontId="16" fillId="7" borderId="5" applyAlignment="1" pivotButton="0" quotePrefix="0" xfId="0">
      <alignment horizontal="left" vertical="center"/>
    </xf>
    <xf numFmtId="166" fontId="18" fillId="7" borderId="5" applyAlignment="1" pivotButton="0" quotePrefix="0" xfId="0">
      <alignment horizontal="center" vertical="center"/>
    </xf>
    <xf numFmtId="0" fontId="6" fillId="7" borderId="5" applyAlignment="1" pivotButton="0" quotePrefix="0" xfId="0">
      <alignment horizontal="left" vertical="center" indent="1"/>
    </xf>
    <xf numFmtId="0" fontId="16" fillId="9" borderId="5" applyAlignment="1" pivotButton="0" quotePrefix="0" xfId="0">
      <alignment horizontal="center" vertical="center"/>
    </xf>
    <xf numFmtId="0" fontId="20" fillId="11" borderId="5" applyAlignment="1" pivotButton="0" quotePrefix="0" xfId="0">
      <alignment horizontal="left" vertical="center"/>
    </xf>
    <xf numFmtId="0" fontId="0" fillId="0" borderId="8" pivotButton="0" quotePrefix="0" xfId="0"/>
    <xf numFmtId="0" fontId="0" fillId="0" borderId="9" pivotButton="0" quotePrefix="0" xfId="0"/>
    <xf numFmtId="0" fontId="14" fillId="11" borderId="10" applyAlignment="1" pivotButton="0" quotePrefix="0" xfId="0">
      <alignment horizontal="center" vertical="center"/>
    </xf>
    <xf numFmtId="0" fontId="12" fillId="7" borderId="5" applyAlignment="1" pivotButton="0" quotePrefix="0" xfId="0">
      <alignment horizontal="center" vertical="center"/>
    </xf>
    <xf numFmtId="0" fontId="16" fillId="12" borderId="5" applyAlignment="1" pivotButton="0" quotePrefix="0" xfId="0">
      <alignment horizontal="left" vertical="center"/>
    </xf>
    <xf numFmtId="167" fontId="21" fillId="12" borderId="5" applyAlignment="1" pivotButton="0" quotePrefix="0" xfId="0">
      <alignment horizontal="center" vertical="center"/>
    </xf>
    <xf numFmtId="164" fontId="22" fillId="12" borderId="5" applyAlignment="1" pivotButton="0" quotePrefix="0" xfId="0">
      <alignment horizontal="center" vertical="center"/>
    </xf>
    <xf numFmtId="0" fontId="23" fillId="12" borderId="5" applyAlignment="1" pivotButton="0" quotePrefix="0" xfId="0">
      <alignment horizontal="left" vertical="center"/>
    </xf>
    <xf numFmtId="165" fontId="12" fillId="7" borderId="5" applyAlignment="1" pivotButton="0" quotePrefix="0" xfId="0">
      <alignment horizontal="center" vertical="center"/>
    </xf>
    <xf numFmtId="0" fontId="16" fillId="13" borderId="5" applyAlignment="1" pivotButton="0" quotePrefix="0" xfId="0">
      <alignment horizontal="left" vertical="center"/>
    </xf>
    <xf numFmtId="167" fontId="21" fillId="13" borderId="5" applyAlignment="1" pivotButton="0" quotePrefix="0" xfId="0">
      <alignment horizontal="center" vertical="center"/>
    </xf>
    <xf numFmtId="0" fontId="24" fillId="13" borderId="5" applyAlignment="1" pivotButton="0" quotePrefix="0" xfId="0">
      <alignment horizontal="center" vertical="center"/>
    </xf>
    <xf numFmtId="164" fontId="25" fillId="13" borderId="5" applyAlignment="1" pivotButton="0" quotePrefix="0" xfId="0">
      <alignment horizontal="left" vertical="center"/>
    </xf>
    <xf numFmtId="0" fontId="16" fillId="14" borderId="5" applyAlignment="1" pivotButton="0" quotePrefix="0" xfId="0">
      <alignment horizontal="left" vertical="center"/>
    </xf>
    <xf numFmtId="167" fontId="21" fillId="14" borderId="5" applyAlignment="1" pivotButton="0" quotePrefix="0" xfId="0">
      <alignment horizontal="center" vertical="center"/>
    </xf>
    <xf numFmtId="0" fontId="26" fillId="14" borderId="5" applyAlignment="1" pivotButton="0" quotePrefix="0" xfId="0">
      <alignment horizontal="center" vertical="center"/>
    </xf>
    <xf numFmtId="0" fontId="27" fillId="14" borderId="5" applyAlignment="1" pivotButton="0" quotePrefix="0" xfId="0">
      <alignment horizontal="left" vertical="center"/>
    </xf>
    <xf numFmtId="164" fontId="12" fillId="7" borderId="5" applyAlignment="1" pivotButton="0" quotePrefix="0" xfId="0">
      <alignment horizontal="center" vertical="center"/>
    </xf>
    <xf numFmtId="167" fontId="21" fillId="7" borderId="5" applyAlignment="1" pivotButton="0" quotePrefix="0" xfId="0">
      <alignment horizontal="center" vertical="center"/>
    </xf>
    <xf numFmtId="0" fontId="28" fillId="7" borderId="5" applyAlignment="1" pivotButton="0" quotePrefix="0" xfId="0">
      <alignment horizontal="center" vertical="center"/>
    </xf>
    <xf numFmtId="0" fontId="29" fillId="7" borderId="5" applyAlignment="1" pivotButton="0" quotePrefix="0" xfId="0">
      <alignment horizontal="left" vertical="center"/>
    </xf>
    <xf numFmtId="0" fontId="20" fillId="10" borderId="5" applyAlignment="1" pivotButton="0" quotePrefix="0" xfId="0">
      <alignment horizontal="left" vertical="center"/>
    </xf>
    <xf numFmtId="167" fontId="2" fillId="10" borderId="5" applyAlignment="1" pivotButton="0" quotePrefix="0" xfId="0">
      <alignment horizontal="center" vertical="center"/>
    </xf>
    <xf numFmtId="0" fontId="2" fillId="10" borderId="5" applyAlignment="1" pivotButton="0" quotePrefix="0" xfId="0">
      <alignment horizontal="center" vertical="center"/>
    </xf>
    <xf numFmtId="0" fontId="30" fillId="10" borderId="5" applyAlignment="1" pivotButton="0" quotePrefix="0" xfId="0">
      <alignment horizontal="left" vertical="center"/>
    </xf>
    <xf numFmtId="0" fontId="0" fillId="8" borderId="0" pivotButton="0" quotePrefix="0" xfId="0"/>
    <xf numFmtId="0" fontId="20" fillId="9" borderId="5" applyAlignment="1" pivotButton="0" quotePrefix="0" xfId="0">
      <alignment horizontal="left" vertical="center"/>
    </xf>
    <xf numFmtId="0" fontId="16" fillId="8" borderId="5" applyAlignment="1" pivotButton="0" quotePrefix="0" xfId="0">
      <alignment horizontal="left" vertical="center"/>
    </xf>
    <xf numFmtId="164" fontId="15" fillId="7" borderId="5" applyAlignment="1" pivotButton="0" quotePrefix="0" xfId="0">
      <alignment horizontal="center" vertical="center"/>
    </xf>
    <xf numFmtId="0" fontId="16" fillId="8" borderId="5" applyAlignment="1" pivotButton="0" quotePrefix="0" xfId="0">
      <alignment horizontal="center" vertical="center"/>
    </xf>
    <xf numFmtId="167" fontId="31" fillId="8" borderId="5" applyAlignment="1" pivotButton="0" quotePrefix="0" xfId="0">
      <alignment horizontal="center" vertical="center"/>
    </xf>
    <xf numFmtId="165" fontId="31" fillId="8" borderId="5" applyAlignment="1" pivotButton="0" quotePrefix="0" xfId="0">
      <alignment horizontal="center" vertical="center"/>
    </xf>
    <xf numFmtId="165" fontId="16" fillId="8" borderId="5" applyAlignment="1" pivotButton="0" quotePrefix="0" xfId="0">
      <alignment horizontal="center" vertical="center"/>
    </xf>
    <xf numFmtId="0" fontId="16" fillId="7" borderId="5" applyAlignment="1" pivotButton="0" quotePrefix="0" xfId="0">
      <alignment horizontal="center" vertical="center"/>
    </xf>
    <xf numFmtId="167" fontId="31" fillId="7" borderId="5" applyAlignment="1" pivotButton="0" quotePrefix="0" xfId="0">
      <alignment horizontal="center" vertical="center"/>
    </xf>
    <xf numFmtId="165" fontId="31" fillId="7" borderId="5" applyAlignment="1" pivotButton="0" quotePrefix="0" xfId="0">
      <alignment horizontal="center" vertical="center"/>
    </xf>
    <xf numFmtId="165" fontId="16" fillId="7" borderId="5" applyAlignment="1" pivotButton="0" quotePrefix="0" xfId="0">
      <alignment horizontal="center" vertical="center"/>
    </xf>
    <xf numFmtId="0" fontId="6" fillId="4" borderId="3" applyAlignment="1" pivotButton="0" quotePrefix="0" xfId="0">
      <alignment horizontal="left" vertical="center" indent="1"/>
    </xf>
    <xf numFmtId="0" fontId="0" fillId="8" borderId="5" pivotButton="0" quotePrefix="0" xfId="0"/>
    <xf numFmtId="0" fontId="16" fillId="9" borderId="4" applyAlignment="1" pivotButton="0" quotePrefix="0" xfId="0">
      <alignment horizontal="left" vertical="center"/>
    </xf>
    <xf numFmtId="0" fontId="12" fillId="7" borderId="5" applyAlignment="1" pivotButton="0" quotePrefix="0" xfId="0">
      <alignment horizontal="left" vertical="center"/>
    </xf>
    <xf numFmtId="0" fontId="32" fillId="10" borderId="0" applyAlignment="1" pivotButton="0" quotePrefix="0" xfId="0">
      <alignment horizontal="center" vertical="center"/>
    </xf>
    <xf numFmtId="0" fontId="33" fillId="11" borderId="0" applyAlignment="1" pivotButton="0" quotePrefix="0" xfId="0">
      <alignment horizontal="center" vertical="center"/>
    </xf>
    <xf numFmtId="0" fontId="34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17" fillId="11" borderId="0" applyAlignment="1" pivotButton="0" quotePrefix="0" xfId="0">
      <alignment horizontal="right" vertical="center"/>
    </xf>
    <xf numFmtId="0" fontId="19" fillId="9" borderId="15" applyAlignment="1" pivotButton="0" quotePrefix="0" xfId="0">
      <alignment horizontal="left" vertical="center"/>
    </xf>
    <xf numFmtId="0" fontId="14" fillId="10" borderId="0" applyAlignment="1" pivotButton="0" quotePrefix="0" xfId="0">
      <alignment horizontal="center" vertical="center"/>
    </xf>
    <xf numFmtId="0" fontId="14" fillId="16" borderId="0" applyAlignment="1" pivotButton="0" quotePrefix="0" xfId="0">
      <alignment horizontal="center" vertical="center"/>
    </xf>
    <xf numFmtId="0" fontId="14" fillId="17" borderId="0" applyAlignment="1" pivotButton="0" quotePrefix="0" xfId="0">
      <alignment horizontal="center" vertical="center"/>
    </xf>
    <xf numFmtId="0" fontId="14" fillId="18" borderId="0" applyAlignment="1" pivotButton="0" quotePrefix="0" xfId="0">
      <alignment horizontal="center" vertical="center"/>
    </xf>
    <xf numFmtId="0" fontId="35" fillId="15" borderId="16" applyAlignment="1" pivotButton="0" quotePrefix="0" xfId="0">
      <alignment horizontal="center" vertical="center"/>
    </xf>
    <xf numFmtId="0" fontId="37" fillId="13" borderId="17" applyAlignment="1" pivotButton="0" quotePrefix="0" xfId="0">
      <alignment horizontal="center" vertical="center"/>
    </xf>
    <xf numFmtId="0" fontId="38" fillId="14" borderId="18" applyAlignment="1" pivotButton="0" quotePrefix="0" xfId="0">
      <alignment horizontal="center" vertical="center"/>
    </xf>
    <xf numFmtId="0" fontId="39" fillId="12" borderId="19" applyAlignment="1" pivotButton="0" quotePrefix="0" xfId="0">
      <alignment horizontal="center" vertical="center"/>
    </xf>
    <xf numFmtId="0" fontId="36" fillId="15" borderId="0" applyAlignment="1" pivotButton="0" quotePrefix="0" xfId="0">
      <alignment horizontal="center" vertical="center"/>
    </xf>
    <xf numFmtId="0" fontId="36" fillId="13" borderId="0" applyAlignment="1" pivotButton="0" quotePrefix="0" xfId="0">
      <alignment horizontal="center" vertical="center"/>
    </xf>
    <xf numFmtId="0" fontId="36" fillId="14" borderId="0" applyAlignment="1" pivotButton="0" quotePrefix="0" xfId="0">
      <alignment horizontal="center" vertical="center"/>
    </xf>
    <xf numFmtId="0" fontId="36" fillId="12" borderId="0" applyAlignment="1" pivotButton="0" quotePrefix="0" xfId="0">
      <alignment horizontal="center" vertical="center"/>
    </xf>
    <xf numFmtId="0" fontId="14" fillId="11" borderId="0" applyAlignment="1" pivotButton="0" quotePrefix="0" xfId="0">
      <alignment horizontal="center" vertical="center"/>
    </xf>
    <xf numFmtId="0" fontId="14" fillId="20" borderId="0" applyAlignment="1" pivotButton="0" quotePrefix="0" xfId="0">
      <alignment horizontal="center" vertical="center"/>
    </xf>
    <xf numFmtId="0" fontId="14" fillId="21" borderId="0" applyAlignment="1" pivotButton="0" quotePrefix="0" xfId="0">
      <alignment horizontal="center" vertical="center"/>
    </xf>
    <xf numFmtId="0" fontId="40" fillId="19" borderId="20" applyAlignment="1" pivotButton="0" quotePrefix="0" xfId="0">
      <alignment horizontal="center" vertical="center"/>
    </xf>
    <xf numFmtId="0" fontId="41" fillId="8" borderId="21" applyAlignment="1" pivotButton="0" quotePrefix="0" xfId="0">
      <alignment horizontal="center" vertical="center"/>
    </xf>
    <xf numFmtId="0" fontId="35" fillId="9" borderId="15" applyAlignment="1" pivotButton="0" quotePrefix="0" xfId="0">
      <alignment horizontal="center" vertical="center"/>
    </xf>
    <xf numFmtId="0" fontId="36" fillId="19" borderId="0" applyAlignment="1" pivotButton="0" quotePrefix="0" xfId="0">
      <alignment horizontal="center" vertical="center"/>
    </xf>
    <xf numFmtId="0" fontId="36" fillId="8" borderId="0" applyAlignment="1" pivotButton="0" quotePrefix="0" xfId="0">
      <alignment horizontal="center" vertical="center"/>
    </xf>
    <xf numFmtId="0" fontId="36" fillId="9" borderId="0" applyAlignment="1" pivotButton="0" quotePrefix="0" xfId="0">
      <alignment horizontal="center" vertical="center"/>
    </xf>
    <xf numFmtId="0" fontId="17" fillId="11" borderId="10" applyAlignment="1" pivotButton="0" quotePrefix="0" xfId="0">
      <alignment horizontal="left" vertical="center"/>
    </xf>
    <xf numFmtId="0" fontId="0" fillId="0" borderId="24" pivotButton="0" quotePrefix="0" xfId="0"/>
    <xf numFmtId="0" fontId="0" fillId="0" borderId="25" pivotButton="0" quotePrefix="0" xfId="0"/>
    <xf numFmtId="0" fontId="14" fillId="10" borderId="26" applyAlignment="1" pivotButton="0" quotePrefix="0" xfId="0">
      <alignment horizontal="center" vertical="center"/>
    </xf>
    <xf numFmtId="0" fontId="42" fillId="12" borderId="5" applyAlignment="1" pivotButton="0" quotePrefix="0" xfId="0">
      <alignment horizontal="left" vertical="center"/>
    </xf>
    <xf numFmtId="0" fontId="43" fillId="12" borderId="5" applyAlignment="1" pivotButton="0" quotePrefix="0" xfId="0">
      <alignment horizontal="center" vertical="center"/>
    </xf>
    <xf numFmtId="0" fontId="42" fillId="13" borderId="5" applyAlignment="1" pivotButton="0" quotePrefix="0" xfId="0">
      <alignment horizontal="left" vertical="center"/>
    </xf>
    <xf numFmtId="0" fontId="44" fillId="13" borderId="5" applyAlignment="1" pivotButton="0" quotePrefix="0" xfId="0">
      <alignment horizontal="center" vertical="center"/>
    </xf>
    <xf numFmtId="0" fontId="25" fillId="13" borderId="5" applyAlignment="1" pivotButton="0" quotePrefix="0" xfId="0">
      <alignment horizontal="left" vertical="center"/>
    </xf>
    <xf numFmtId="0" fontId="42" fillId="14" borderId="5" applyAlignment="1" pivotButton="0" quotePrefix="0" xfId="0">
      <alignment horizontal="left" vertical="center"/>
    </xf>
    <xf numFmtId="0" fontId="45" fillId="14" borderId="5" applyAlignment="1" pivotButton="0" quotePrefix="0" xfId="0">
      <alignment horizontal="center" vertical="center"/>
    </xf>
    <xf numFmtId="0" fontId="42" fillId="8" borderId="5" applyAlignment="1" pivotButton="0" quotePrefix="0" xfId="0">
      <alignment horizontal="left" vertical="center"/>
    </xf>
    <xf numFmtId="167" fontId="21" fillId="8" borderId="5" applyAlignment="1" pivotButton="0" quotePrefix="0" xfId="0">
      <alignment horizontal="center" vertical="center"/>
    </xf>
    <xf numFmtId="0" fontId="46" fillId="8" borderId="5" applyAlignment="1" pivotButton="0" quotePrefix="0" xfId="0">
      <alignment horizontal="center" vertical="center"/>
    </xf>
    <xf numFmtId="0" fontId="47" fillId="8" borderId="5" applyAlignment="1" pivotButton="0" quotePrefix="0" xfId="0">
      <alignment horizontal="left" vertical="center"/>
    </xf>
    <xf numFmtId="0" fontId="17" fillId="10" borderId="26" applyAlignment="1" pivotButton="0" quotePrefix="0" xfId="0">
      <alignment horizontal="left" vertical="center"/>
    </xf>
    <xf numFmtId="167" fontId="2" fillId="10" borderId="26" applyAlignment="1" pivotButton="0" quotePrefix="0" xfId="0">
      <alignment horizontal="center" vertical="center"/>
    </xf>
    <xf numFmtId="0" fontId="0" fillId="10" borderId="26" pivotButton="0" quotePrefix="0" xfId="0"/>
    <xf numFmtId="0" fontId="2" fillId="10" borderId="26" applyAlignment="1" pivotButton="0" quotePrefix="0" xfId="0">
      <alignment horizontal="center" vertical="center"/>
    </xf>
    <xf numFmtId="0" fontId="48" fillId="10" borderId="26" applyAlignment="1" pivotButton="0" quotePrefix="0" xfId="0">
      <alignment horizontal="left" vertical="center"/>
    </xf>
    <xf numFmtId="0" fontId="49" fillId="10" borderId="0" applyAlignment="1" pivotButton="0" quotePrefix="0" xfId="0">
      <alignment horizontal="center" vertical="center"/>
    </xf>
    <xf numFmtId="0" fontId="49" fillId="16" borderId="0" applyAlignment="1" pivotButton="0" quotePrefix="0" xfId="0">
      <alignment horizontal="center" vertical="center"/>
    </xf>
    <xf numFmtId="0" fontId="49" fillId="17" borderId="0" applyAlignment="1" pivotButton="0" quotePrefix="0" xfId="0">
      <alignment horizontal="center" vertical="center"/>
    </xf>
    <xf numFmtId="0" fontId="49" fillId="18" borderId="0" applyAlignment="1" pivotButton="0" quotePrefix="0" xfId="0">
      <alignment horizontal="center" vertical="center"/>
    </xf>
    <xf numFmtId="0" fontId="49" fillId="10" borderId="26" applyAlignment="1" pivotButton="0" quotePrefix="0" xfId="0">
      <alignment horizontal="center" vertical="center"/>
    </xf>
    <xf numFmtId="0" fontId="49" fillId="16" borderId="27" applyAlignment="1" pivotButton="0" quotePrefix="0" xfId="0">
      <alignment horizontal="center" vertical="center"/>
    </xf>
    <xf numFmtId="0" fontId="49" fillId="17" borderId="28" applyAlignment="1" pivotButton="0" quotePrefix="0" xfId="0">
      <alignment horizontal="center" vertical="center"/>
    </xf>
    <xf numFmtId="0" fontId="49" fillId="18" borderId="29" applyAlignment="1" pivotButton="0" quotePrefix="0" xfId="0">
      <alignment horizontal="center" vertical="center"/>
    </xf>
    <xf numFmtId="0" fontId="50" fillId="15" borderId="5" applyAlignment="1" pivotButton="0" quotePrefix="0" xfId="0">
      <alignment horizontal="center" vertical="center"/>
    </xf>
    <xf numFmtId="0" fontId="51" fillId="15" borderId="5" applyAlignment="1" pivotButton="0" quotePrefix="0" xfId="0">
      <alignment horizontal="center" vertical="center"/>
    </xf>
    <xf numFmtId="167" fontId="52" fillId="15" borderId="5" applyAlignment="1" pivotButton="0" quotePrefix="0" xfId="0">
      <alignment horizontal="center" vertical="center"/>
    </xf>
    <xf numFmtId="0" fontId="50" fillId="13" borderId="5" applyAlignment="1" pivotButton="0" quotePrefix="0" xfId="0">
      <alignment horizontal="center" vertical="center"/>
    </xf>
    <xf numFmtId="0" fontId="51" fillId="13" borderId="5" applyAlignment="1" pivotButton="0" quotePrefix="0" xfId="0">
      <alignment horizontal="center" vertical="center"/>
    </xf>
    <xf numFmtId="167" fontId="52" fillId="13" borderId="5" applyAlignment="1" pivotButton="0" quotePrefix="0" xfId="0">
      <alignment horizontal="center" vertical="center"/>
    </xf>
    <xf numFmtId="0" fontId="50" fillId="14" borderId="5" applyAlignment="1" pivotButton="0" quotePrefix="0" xfId="0">
      <alignment horizontal="center" vertical="center"/>
    </xf>
    <xf numFmtId="0" fontId="51" fillId="14" borderId="5" applyAlignment="1" pivotButton="0" quotePrefix="0" xfId="0">
      <alignment horizontal="center" vertical="center"/>
    </xf>
    <xf numFmtId="167" fontId="52" fillId="14" borderId="5" applyAlignment="1" pivotButton="0" quotePrefix="0" xfId="0">
      <alignment horizontal="center" vertical="center"/>
    </xf>
    <xf numFmtId="0" fontId="50" fillId="12" borderId="5" applyAlignment="1" pivotButton="0" quotePrefix="0" xfId="0">
      <alignment horizontal="center" vertical="center"/>
    </xf>
    <xf numFmtId="0" fontId="51" fillId="12" borderId="5" applyAlignment="1" pivotButton="0" quotePrefix="0" xfId="0">
      <alignment horizontal="center" vertical="center"/>
    </xf>
    <xf numFmtId="167" fontId="52" fillId="12" borderId="5" applyAlignment="1" pivotButton="0" quotePrefix="0" xfId="0">
      <alignment horizontal="center" vertical="center"/>
    </xf>
    <xf numFmtId="0" fontId="50" fillId="7" borderId="5" applyAlignment="1" pivotButton="0" quotePrefix="0" xfId="0">
      <alignment horizontal="center" vertical="center"/>
    </xf>
    <xf numFmtId="0" fontId="51" fillId="7" borderId="5" applyAlignment="1" pivotButton="0" quotePrefix="0" xfId="0">
      <alignment horizontal="center" vertical="center"/>
    </xf>
    <xf numFmtId="167" fontId="52" fillId="7" borderId="5" applyAlignment="1" pivotButton="0" quotePrefix="0" xfId="0">
      <alignment horizontal="center" vertical="center"/>
    </xf>
    <xf numFmtId="0" fontId="42" fillId="8" borderId="5" applyAlignment="1" pivotButton="0" quotePrefix="0" xfId="0">
      <alignment horizontal="center" vertical="center"/>
    </xf>
    <xf numFmtId="167" fontId="53" fillId="8" borderId="5" applyAlignment="1" pivotButton="0" quotePrefix="0" xfId="0">
      <alignment horizontal="center" vertical="center"/>
    </xf>
    <xf numFmtId="0" fontId="47" fillId="8" borderId="0" applyAlignment="1" pivotButton="0" quotePrefix="0" xfId="0">
      <alignment horizontal="left" vertical="center"/>
    </xf>
    <xf numFmtId="0" fontId="54" fillId="10" borderId="0" applyAlignment="1" pivotButton="0" quotePrefix="0" xfId="0">
      <alignment horizontal="center" vertical="center"/>
    </xf>
    <xf numFmtId="0" fontId="0" fillId="0" borderId="13" pivotButton="0" quotePrefix="0" xfId="0"/>
    <xf numFmtId="0" fontId="0" fillId="0" borderId="14" pivotButton="0" quotePrefix="0" xfId="0"/>
    <xf numFmtId="0" fontId="0" fillId="0" borderId="32" pivotButton="0" quotePrefix="0" xfId="0"/>
    <xf numFmtId="0" fontId="0" fillId="0" borderId="39" pivotButton="0" quotePrefix="0" xfId="0"/>
    <xf numFmtId="0" fontId="0" fillId="0" borderId="40" pivotButton="0" quotePrefix="0" xfId="0"/>
    <xf numFmtId="0" fontId="0" fillId="0" borderId="44" pivotButton="0" quotePrefix="0" xfId="0"/>
    <xf numFmtId="0" fontId="0" fillId="0" borderId="45" pivotButton="0" quotePrefix="0" xfId="0"/>
    <xf numFmtId="0" fontId="0" fillId="0" borderId="56" pivotButton="0" quotePrefix="0" xfId="0"/>
    <xf numFmtId="0" fontId="0" fillId="0" borderId="57" pivotButton="0" quotePrefix="0" xfId="0"/>
    <xf numFmtId="0" fontId="0" fillId="0" borderId="48" pivotButton="0" quotePrefix="0" xfId="0"/>
    <xf numFmtId="0" fontId="0" fillId="0" borderId="49" pivotButton="0" quotePrefix="0" xfId="0"/>
    <xf numFmtId="0" fontId="0" fillId="0" borderId="35" pivotButton="0" quotePrefix="0" xfId="0"/>
    <xf numFmtId="0" fontId="0" fillId="0" borderId="36" pivotButton="0" quotePrefix="0" xfId="0"/>
    <xf numFmtId="0" fontId="0" fillId="0" borderId="52" pivotButton="0" quotePrefix="0" xfId="0"/>
    <xf numFmtId="0" fontId="0" fillId="0" borderId="53" pivotButton="0" quotePrefix="0" xfId="0"/>
    <xf numFmtId="0" fontId="0" fillId="0" borderId="41" pivotButton="0" quotePrefix="0" xfId="0"/>
    <xf numFmtId="0" fontId="42" fillId="15" borderId="5" applyAlignment="1" pivotButton="0" quotePrefix="0" xfId="0">
      <alignment horizontal="left" vertical="center"/>
    </xf>
    <xf numFmtId="167" fontId="21" fillId="15" borderId="5" applyAlignment="1" pivotButton="0" quotePrefix="0" xfId="0">
      <alignment horizontal="center" vertical="center"/>
    </xf>
    <xf numFmtId="0" fontId="18" fillId="15" borderId="5" applyAlignment="1" pivotButton="0" quotePrefix="0" xfId="0">
      <alignment horizontal="center" vertical="center"/>
    </xf>
    <xf numFmtId="0" fontId="55" fillId="15" borderId="5" applyAlignment="1" pivotButton="0" quotePrefix="0" xfId="0">
      <alignment horizontal="left" vertical="center"/>
    </xf>
    <xf numFmtId="0" fontId="42" fillId="19" borderId="5" applyAlignment="1" pivotButton="0" quotePrefix="0" xfId="0">
      <alignment horizontal="left" vertical="center"/>
    </xf>
    <xf numFmtId="167" fontId="21" fillId="19" borderId="5" applyAlignment="1" pivotButton="0" quotePrefix="0" xfId="0">
      <alignment horizontal="center" vertical="center"/>
    </xf>
    <xf numFmtId="0" fontId="56" fillId="19" borderId="5" applyAlignment="1" pivotButton="0" quotePrefix="0" xfId="0">
      <alignment horizontal="center" vertical="center"/>
    </xf>
    <xf numFmtId="0" fontId="57" fillId="19" borderId="5" applyAlignment="1" pivotButton="0" quotePrefix="0" xfId="0">
      <alignment horizontal="left" vertical="center"/>
    </xf>
    <xf numFmtId="0" fontId="42" fillId="12" borderId="5" applyAlignment="1" pivotButton="0" quotePrefix="0" xfId="0">
      <alignment horizontal="left" vertical="center"/>
    </xf>
    <xf numFmtId="167" fontId="21" fillId="12" borderId="5" applyAlignment="1" pivotButton="0" quotePrefix="0" xfId="0">
      <alignment horizontal="center" vertical="center"/>
    </xf>
    <xf numFmtId="0" fontId="43" fillId="12" borderId="5" applyAlignment="1" pivotButton="0" quotePrefix="0" xfId="0">
      <alignment horizontal="center" vertical="center"/>
    </xf>
    <xf numFmtId="0" fontId="23" fillId="12" borderId="5" applyAlignment="1" pivotButton="0" quotePrefix="0" xfId="0">
      <alignment horizontal="left" vertical="center"/>
    </xf>
    <xf numFmtId="0" fontId="42" fillId="13" borderId="5" applyAlignment="1" pivotButton="0" quotePrefix="0" xfId="0">
      <alignment horizontal="left" vertical="center"/>
    </xf>
    <xf numFmtId="167" fontId="21" fillId="13" borderId="5" applyAlignment="1" pivotButton="0" quotePrefix="0" xfId="0">
      <alignment horizontal="center" vertical="center"/>
    </xf>
    <xf numFmtId="0" fontId="44" fillId="13" borderId="5" applyAlignment="1" pivotButton="0" quotePrefix="0" xfId="0">
      <alignment horizontal="center" vertical="center"/>
    </xf>
    <xf numFmtId="0" fontId="25" fillId="13" borderId="5" applyAlignment="1" pivotButton="0" quotePrefix="0" xfId="0">
      <alignment horizontal="left" vertical="center"/>
    </xf>
    <xf numFmtId="0" fontId="42" fillId="14" borderId="5" applyAlignment="1" pivotButton="0" quotePrefix="0" xfId="0">
      <alignment horizontal="left" vertical="center"/>
    </xf>
    <xf numFmtId="167" fontId="21" fillId="14" borderId="5" applyAlignment="1" pivotButton="0" quotePrefix="0" xfId="0">
      <alignment horizontal="center" vertical="center"/>
    </xf>
    <xf numFmtId="0" fontId="45" fillId="14" borderId="5" applyAlignment="1" pivotButton="0" quotePrefix="0" xfId="0">
      <alignment horizontal="center" vertical="center"/>
    </xf>
    <xf numFmtId="0" fontId="27" fillId="14" borderId="5" applyAlignment="1" pivotButton="0" quotePrefix="0" xfId="0">
      <alignment horizontal="left" vertical="center"/>
    </xf>
    <xf numFmtId="0" fontId="17" fillId="10" borderId="26" applyAlignment="1" pivotButton="0" quotePrefix="0" xfId="0">
      <alignment horizontal="left" vertical="center"/>
    </xf>
    <xf numFmtId="167" fontId="2" fillId="10" borderId="26" applyAlignment="1" pivotButton="0" quotePrefix="0" xfId="0">
      <alignment horizontal="center" vertical="center"/>
    </xf>
    <xf numFmtId="0" fontId="2" fillId="10" borderId="26" applyAlignment="1" pivotButton="0" quotePrefix="0" xfId="0">
      <alignment horizontal="center" vertical="center"/>
    </xf>
    <xf numFmtId="0" fontId="48" fillId="10" borderId="26" applyAlignment="1" pivotButton="0" quotePrefix="0" xfId="0">
      <alignment horizontal="left" vertical="center"/>
    </xf>
    <xf numFmtId="164" fontId="18" fillId="15" borderId="5" applyAlignment="1" pivotButton="0" quotePrefix="0" xfId="0">
      <alignment horizontal="center" vertical="center"/>
    </xf>
    <xf numFmtId="164" fontId="57" fillId="19" borderId="5" applyAlignment="1" pivotButton="0" quotePrefix="0" xfId="0">
      <alignment horizontal="left" vertical="center"/>
    </xf>
    <xf numFmtId="0" fontId="58" fillId="10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0" fontId="34" fillId="10" borderId="0" applyAlignment="1" pivotButton="0" quotePrefix="0" xfId="0">
      <alignment horizontal="center" vertical="center"/>
    </xf>
    <xf numFmtId="0" fontId="59" fillId="8" borderId="0" applyAlignment="1" pivotButton="0" quotePrefix="0" xfId="0">
      <alignment horizontal="left" vertical="center" wrapText="1"/>
    </xf>
    <xf numFmtId="0" fontId="20" fillId="10" borderId="26" applyAlignment="1" pivotButton="0" quotePrefix="0" xfId="0">
      <alignment horizontal="center" vertical="center"/>
    </xf>
    <xf numFmtId="0" fontId="60" fillId="15" borderId="5" applyAlignment="1" pivotButton="0" quotePrefix="0" xfId="0">
      <alignment horizontal="left" vertical="center" wrapText="1"/>
    </xf>
    <xf numFmtId="0" fontId="22" fillId="15" borderId="5" applyAlignment="1" pivotButton="0" quotePrefix="0" xfId="0">
      <alignment horizontal="center" vertical="center"/>
    </xf>
    <xf numFmtId="0" fontId="61" fillId="15" borderId="5" applyAlignment="1" pivotButton="0" quotePrefix="0" xfId="0">
      <alignment horizontal="left" vertical="center" wrapText="1"/>
    </xf>
    <xf numFmtId="0" fontId="62" fillId="15" borderId="5" applyAlignment="1" pivotButton="0" quotePrefix="0" xfId="0">
      <alignment horizontal="left" vertical="center" wrapText="1"/>
    </xf>
    <xf numFmtId="0" fontId="60" fillId="7" borderId="5" applyAlignment="1" pivotButton="0" quotePrefix="0" xfId="0">
      <alignment horizontal="left" vertical="center" wrapText="1"/>
    </xf>
    <xf numFmtId="0" fontId="22" fillId="7" borderId="5" applyAlignment="1" pivotButton="0" quotePrefix="0" xfId="0">
      <alignment horizontal="center" vertical="center"/>
    </xf>
    <xf numFmtId="0" fontId="61" fillId="7" borderId="5" applyAlignment="1" pivotButton="0" quotePrefix="0" xfId="0">
      <alignment horizontal="left" vertical="center" wrapText="1"/>
    </xf>
    <xf numFmtId="0" fontId="62" fillId="7" borderId="5" applyAlignment="1" pivotButton="0" quotePrefix="0" xfId="0">
      <alignment horizontal="left" vertical="center" wrapText="1"/>
    </xf>
    <xf numFmtId="0" fontId="47" fillId="8" borderId="0" applyAlignment="1" pivotButton="0" quotePrefix="0" xfId="0">
      <alignment horizontal="left" vertical="center" wrapText="1"/>
    </xf>
    <xf numFmtId="0" fontId="54" fillId="10" borderId="0" applyAlignment="1" pivotButton="0" quotePrefix="0" xfId="0">
      <alignment horizontal="center" vertical="center"/>
    </xf>
    <xf numFmtId="0" fontId="14" fillId="10" borderId="5" applyAlignment="1" pivotButton="0" quotePrefix="0" xfId="0">
      <alignment horizontal="center" vertical="center"/>
    </xf>
    <xf numFmtId="0" fontId="14" fillId="11" borderId="5" applyAlignment="1" pivotButton="0" quotePrefix="0" xfId="0">
      <alignment horizontal="center" vertical="center"/>
    </xf>
    <xf numFmtId="0" fontId="14" fillId="18" borderId="5" applyAlignment="1" pivotButton="0" quotePrefix="0" xfId="0">
      <alignment horizontal="center" vertical="center"/>
    </xf>
    <xf numFmtId="0" fontId="14" fillId="16" borderId="5" applyAlignment="1" pivotButton="0" quotePrefix="0" xfId="0">
      <alignment horizontal="center" vertical="center"/>
    </xf>
    <xf numFmtId="0" fontId="63" fillId="15" borderId="16" applyAlignment="1" pivotButton="0" quotePrefix="0" xfId="0">
      <alignment horizontal="center" vertical="center"/>
    </xf>
    <xf numFmtId="0" fontId="64" fillId="19" borderId="20" applyAlignment="1" pivotButton="0" quotePrefix="0" xfId="0">
      <alignment horizontal="center" vertical="center"/>
    </xf>
    <xf numFmtId="0" fontId="65" fillId="12" borderId="19" applyAlignment="1" pivotButton="0" quotePrefix="0" xfId="0">
      <alignment horizontal="center" vertical="center"/>
    </xf>
    <xf numFmtId="0" fontId="66" fillId="13" borderId="17" applyAlignment="1" pivotButton="0" quotePrefix="0" xfId="0">
      <alignment horizontal="center" vertical="center"/>
    </xf>
    <xf numFmtId="0" fontId="36" fillId="15" borderId="5" applyAlignment="1" pivotButton="0" quotePrefix="0" xfId="0">
      <alignment horizontal="center" vertical="center"/>
    </xf>
    <xf numFmtId="0" fontId="36" fillId="19" borderId="5" applyAlignment="1" pivotButton="0" quotePrefix="0" xfId="0">
      <alignment horizontal="center" vertical="center"/>
    </xf>
    <xf numFmtId="0" fontId="36" fillId="12" borderId="5" applyAlignment="1" pivotButton="0" quotePrefix="0" xfId="0">
      <alignment horizontal="center" vertical="center"/>
    </xf>
    <xf numFmtId="0" fontId="36" fillId="13" borderId="5" applyAlignment="1" pivotButton="0" quotePrefix="0" xfId="0">
      <alignment horizontal="center" vertical="center"/>
    </xf>
    <xf numFmtId="0" fontId="14" fillId="17" borderId="5" applyAlignment="1" pivotButton="0" quotePrefix="0" xfId="0">
      <alignment horizontal="center" vertical="center"/>
    </xf>
    <xf numFmtId="0" fontId="14" fillId="20" borderId="5" applyAlignment="1" pivotButton="0" quotePrefix="0" xfId="0">
      <alignment horizontal="center" vertical="center"/>
    </xf>
    <xf numFmtId="0" fontId="14" fillId="21" borderId="5" applyAlignment="1" pivotButton="0" quotePrefix="0" xfId="0">
      <alignment horizontal="center" vertical="center"/>
    </xf>
    <xf numFmtId="0" fontId="67" fillId="14" borderId="18" applyAlignment="1" pivotButton="0" quotePrefix="0" xfId="0">
      <alignment horizontal="center" vertical="center"/>
    </xf>
    <xf numFmtId="0" fontId="68" fillId="8" borderId="21" applyAlignment="1" pivotButton="0" quotePrefix="0" xfId="0">
      <alignment horizontal="center" vertical="center"/>
    </xf>
    <xf numFmtId="0" fontId="63" fillId="9" borderId="15" applyAlignment="1" pivotButton="0" quotePrefix="0" xfId="0">
      <alignment horizontal="center" vertical="center"/>
    </xf>
    <xf numFmtId="0" fontId="36" fillId="14" borderId="5" applyAlignment="1" pivotButton="0" quotePrefix="0" xfId="0">
      <alignment horizontal="center" vertical="center"/>
    </xf>
    <xf numFmtId="0" fontId="36" fillId="8" borderId="5" applyAlignment="1" pivotButton="0" quotePrefix="0" xfId="0">
      <alignment horizontal="center" vertical="center"/>
    </xf>
    <xf numFmtId="0" fontId="36" fillId="9" borderId="5" applyAlignment="1" pivotButton="0" quotePrefix="0" xfId="0">
      <alignment horizontal="center" vertical="center"/>
    </xf>
    <xf numFmtId="0" fontId="0" fillId="10" borderId="5" pivotButton="0" quotePrefix="0" xfId="0"/>
    <xf numFmtId="0" fontId="17" fillId="7" borderId="5" applyAlignment="1" pivotButton="0" quotePrefix="0" xfId="0">
      <alignment horizontal="left" vertical="center"/>
    </xf>
    <xf numFmtId="0" fontId="20" fillId="8" borderId="5" applyAlignment="1" pivotButton="0" quotePrefix="0" xfId="0">
      <alignment horizontal="left" vertical="center"/>
    </xf>
    <xf numFmtId="0" fontId="14" fillId="8" borderId="10" applyAlignment="1" pivotButton="0" quotePrefix="0" xfId="0">
      <alignment horizontal="center" vertical="center"/>
    </xf>
    <xf numFmtId="0" fontId="12" fillId="8" borderId="5" applyAlignment="1" pivotButton="0" quotePrefix="0" xfId="0">
      <alignment horizontal="center" vertical="center"/>
    </xf>
    <xf numFmtId="164" fontId="18" fillId="8" borderId="5" applyAlignment="1" pivotButton="0" quotePrefix="0" xfId="0">
      <alignment horizontal="center" vertical="center"/>
    </xf>
    <xf numFmtId="0" fontId="55" fillId="8" borderId="5" applyAlignment="1" pivotButton="0" quotePrefix="0" xfId="0">
      <alignment horizontal="left" vertical="center"/>
    </xf>
    <xf numFmtId="165" fontId="12" fillId="8" borderId="5" applyAlignment="1" pivotButton="0" quotePrefix="0" xfId="0">
      <alignment horizontal="center" vertical="center"/>
    </xf>
    <xf numFmtId="0" fontId="56" fillId="8" borderId="5" applyAlignment="1" pivotButton="0" quotePrefix="0" xfId="0">
      <alignment horizontal="center" vertical="center"/>
    </xf>
    <xf numFmtId="164" fontId="57" fillId="8" borderId="5" applyAlignment="1" pivotButton="0" quotePrefix="0" xfId="0">
      <alignment horizontal="left" vertical="center"/>
    </xf>
    <xf numFmtId="0" fontId="43" fillId="8" borderId="5" applyAlignment="1" pivotButton="0" quotePrefix="0" xfId="0">
      <alignment horizontal="center" vertical="center"/>
    </xf>
    <xf numFmtId="0" fontId="23" fillId="8" borderId="5" applyAlignment="1" pivotButton="0" quotePrefix="0" xfId="0">
      <alignment horizontal="left" vertical="center"/>
    </xf>
    <xf numFmtId="164" fontId="12" fillId="8" borderId="5" applyAlignment="1" pivotButton="0" quotePrefix="0" xfId="0">
      <alignment horizontal="center" vertical="center"/>
    </xf>
    <xf numFmtId="0" fontId="44" fillId="8" borderId="5" applyAlignment="1" pivotButton="0" quotePrefix="0" xfId="0">
      <alignment horizontal="center" vertical="center"/>
    </xf>
    <xf numFmtId="0" fontId="25" fillId="8" borderId="5" applyAlignment="1" pivotButton="0" quotePrefix="0" xfId="0">
      <alignment horizontal="left" vertical="center"/>
    </xf>
    <xf numFmtId="0" fontId="45" fillId="8" borderId="5" applyAlignment="1" pivotButton="0" quotePrefix="0" xfId="0">
      <alignment horizontal="center" vertical="center"/>
    </xf>
    <xf numFmtId="0" fontId="27" fillId="8" borderId="5" applyAlignment="1" pivotButton="0" quotePrefix="0" xfId="0">
      <alignment horizontal="left" vertical="center"/>
    </xf>
    <xf numFmtId="0" fontId="17" fillId="8" borderId="26" applyAlignment="1" pivotButton="0" quotePrefix="0" xfId="0">
      <alignment horizontal="left" vertical="center"/>
    </xf>
    <xf numFmtId="167" fontId="2" fillId="8" borderId="26" applyAlignment="1" pivotButton="0" quotePrefix="0" xfId="0">
      <alignment horizontal="center" vertical="center"/>
    </xf>
    <xf numFmtId="0" fontId="0" fillId="8" borderId="26" pivotButton="0" quotePrefix="0" xfId="0"/>
    <xf numFmtId="0" fontId="2" fillId="8" borderId="26" applyAlignment="1" pivotButton="0" quotePrefix="0" xfId="0">
      <alignment horizontal="center" vertical="center"/>
    </xf>
    <xf numFmtId="0" fontId="48" fillId="8" borderId="26" applyAlignment="1" pivotButton="0" quotePrefix="0" xfId="0">
      <alignment horizontal="left" vertical="center"/>
    </xf>
    <xf numFmtId="167" fontId="18" fillId="7" borderId="5" applyAlignment="1" pivotButton="0" quotePrefix="0" xfId="0">
      <alignment horizontal="center" vertical="center"/>
    </xf>
    <xf numFmtId="167" fontId="15" fillId="5" borderId="0" applyAlignment="1" pivotButton="0" quotePrefix="0" xfId="0">
      <alignment horizontal="center" vertical="center"/>
    </xf>
    <xf numFmtId="167" fontId="15" fillId="8" borderId="0" applyAlignment="1" pivotButton="0" quotePrefix="0" xfId="0">
      <alignment horizontal="center" vertical="center"/>
    </xf>
    <xf numFmtId="167" fontId="15" fillId="6" borderId="0" applyAlignment="1" pivotButton="0" quotePrefix="0" xfId="0">
      <alignment horizontal="center" vertical="center"/>
    </xf>
    <xf numFmtId="168" fontId="36" fillId="15" borderId="5" applyAlignment="1" pivotButton="0" quotePrefix="0" xfId="0">
      <alignment horizontal="center" vertical="center"/>
    </xf>
    <xf numFmtId="165" fontId="36" fillId="19" borderId="5" applyAlignment="1" pivotButton="0" quotePrefix="0" xfId="0">
      <alignment horizontal="center" vertical="center"/>
    </xf>
    <xf numFmtId="165" fontId="36" fillId="12" borderId="5" applyAlignment="1" pivotButton="0" quotePrefix="0" xfId="0">
      <alignment horizontal="center" vertical="center"/>
    </xf>
    <xf numFmtId="165" fontId="36" fillId="13" borderId="5" applyAlignment="1" pivotButton="0" quotePrefix="0" xfId="0">
      <alignment horizontal="center" vertical="center"/>
    </xf>
    <xf numFmtId="165" fontId="36" fillId="14" borderId="5" applyAlignment="1" pivotButton="0" quotePrefix="0" xfId="0">
      <alignment horizontal="center" vertical="center"/>
    </xf>
    <xf numFmtId="165" fontId="36" fillId="8" borderId="5" applyAlignment="1" pivotButton="0" quotePrefix="0" xfId="0">
      <alignment horizontal="center" vertical="center"/>
    </xf>
    <xf numFmtId="165" fontId="36" fillId="9" borderId="5" applyAlignment="1" pivotButton="0" quotePrefix="0" xfId="0">
      <alignment horizontal="center" vertical="center"/>
    </xf>
    <xf numFmtId="165" fontId="18" fillId="15" borderId="5" applyAlignment="1" pivotButton="0" quotePrefix="0" xfId="0">
      <alignment horizontal="center" vertical="center"/>
    </xf>
    <xf numFmtId="165" fontId="56" fillId="19" borderId="5" applyAlignment="1" pivotButton="0" quotePrefix="0" xfId="0">
      <alignment horizontal="center" vertical="center"/>
    </xf>
    <xf numFmtId="165" fontId="43" fillId="12" borderId="5" applyAlignment="1" pivotButton="0" quotePrefix="0" xfId="0">
      <alignment horizontal="center" vertical="center"/>
    </xf>
    <xf numFmtId="165" fontId="44" fillId="13" borderId="5" applyAlignment="1" pivotButton="0" quotePrefix="0" xfId="0">
      <alignment horizontal="center" vertical="center"/>
    </xf>
    <xf numFmtId="165" fontId="45" fillId="14" borderId="5" applyAlignment="1" pivotButton="0" quotePrefix="0" xfId="0">
      <alignment horizontal="center" vertical="center"/>
    </xf>
    <xf numFmtId="165" fontId="2" fillId="10" borderId="26" applyAlignment="1" pivotButton="0" quotePrefix="0" xfId="0">
      <alignment horizontal="center" vertical="center"/>
    </xf>
    <xf numFmtId="0" fontId="70" fillId="22" borderId="0" applyAlignment="1" pivotButton="0" quotePrefix="0" xfId="0">
      <alignment horizontal="center" vertical="center"/>
    </xf>
    <xf numFmtId="0" fontId="71" fillId="25" borderId="0" applyAlignment="1" pivotButton="0" quotePrefix="0" xfId="0">
      <alignment horizontal="left" vertical="center"/>
    </xf>
    <xf numFmtId="0" fontId="71" fillId="25" borderId="3" applyAlignment="1" pivotButton="0" quotePrefix="0" xfId="0">
      <alignment horizontal="left" vertical="center"/>
    </xf>
    <xf numFmtId="0" fontId="69" fillId="23" borderId="3" applyAlignment="1" pivotButton="0" quotePrefix="0" xfId="0">
      <alignment horizontal="left" vertical="center"/>
    </xf>
    <xf numFmtId="0" fontId="71" fillId="24" borderId="0" applyAlignment="1" pivotButton="0" quotePrefix="0" xfId="0">
      <alignment horizontal="left" vertical="center"/>
    </xf>
    <xf numFmtId="167" fontId="72" fillId="24" borderId="0" applyAlignment="1" pivotButton="0" quotePrefix="0" xfId="0">
      <alignment horizontal="right" vertical="center"/>
    </xf>
    <xf numFmtId="0" fontId="73" fillId="25" borderId="0" applyAlignment="1" pivotButton="0" quotePrefix="0" xfId="0">
      <alignment horizontal="left" vertical="center"/>
    </xf>
    <xf numFmtId="0" fontId="73" fillId="25" borderId="0" applyAlignment="1" pivotButton="0" quotePrefix="0" xfId="0">
      <alignment horizontal="center" vertical="center"/>
    </xf>
    <xf numFmtId="0" fontId="74" fillId="25" borderId="0" applyAlignment="1" pivotButton="0" quotePrefix="0" xfId="0">
      <alignment horizontal="left" vertical="center"/>
    </xf>
    <xf numFmtId="167" fontId="75" fillId="7" borderId="0" applyAlignment="1" pivotButton="0" quotePrefix="0" xfId="0">
      <alignment horizontal="right" vertical="center"/>
    </xf>
    <xf numFmtId="0" fontId="76" fillId="7" borderId="0" applyAlignment="1" pivotButton="0" quotePrefix="0" xfId="0">
      <alignment horizontal="center" vertical="center"/>
    </xf>
    <xf numFmtId="0" fontId="69" fillId="22" borderId="0" applyAlignment="1" pivotButton="0" quotePrefix="0" xfId="0">
      <alignment horizontal="center" vertical="center"/>
    </xf>
    <xf numFmtId="0" fontId="77" fillId="10" borderId="0" applyAlignment="1" pivotButton="0" quotePrefix="0" xfId="0">
      <alignment horizontal="left" vertical="center"/>
    </xf>
    <xf numFmtId="0" fontId="78" fillId="11" borderId="0" applyAlignment="1" pivotButton="0" quotePrefix="0" xfId="0">
      <alignment horizontal="center" vertical="center"/>
    </xf>
    <xf numFmtId="0" fontId="70" fillId="10" borderId="0" applyAlignment="1" pivotButton="0" quotePrefix="0" xfId="0">
      <alignment horizontal="center" vertical="center"/>
    </xf>
    <xf numFmtId="0" fontId="79" fillId="11" borderId="0" applyAlignment="1" pivotButton="0" quotePrefix="0" xfId="0">
      <alignment horizontal="right" vertical="center"/>
    </xf>
    <xf numFmtId="0" fontId="80" fillId="9" borderId="15" applyAlignment="1" pivotButton="0" quotePrefix="0" xfId="0">
      <alignment horizontal="left" vertical="center"/>
    </xf>
    <xf numFmtId="0" fontId="81" fillId="10" borderId="5" applyAlignment="1" pivotButton="0" quotePrefix="0" xfId="0">
      <alignment horizontal="center" vertical="center" wrapText="1"/>
    </xf>
    <xf numFmtId="0" fontId="81" fillId="11" borderId="5" applyAlignment="1" pivotButton="0" quotePrefix="0" xfId="0">
      <alignment horizontal="center" vertical="center" wrapText="1"/>
    </xf>
    <xf numFmtId="0" fontId="81" fillId="18" borderId="5" applyAlignment="1" pivotButton="0" quotePrefix="0" xfId="0">
      <alignment horizontal="center" vertical="center" wrapText="1"/>
    </xf>
    <xf numFmtId="167" fontId="82" fillId="15" borderId="16" applyAlignment="1" pivotButton="0" quotePrefix="0" xfId="0">
      <alignment horizontal="center" vertical="center"/>
    </xf>
    <xf numFmtId="167" fontId="82" fillId="19" borderId="20" applyAlignment="1" pivotButton="0" quotePrefix="0" xfId="0">
      <alignment horizontal="center" vertical="center"/>
    </xf>
    <xf numFmtId="167" fontId="82" fillId="12" borderId="19" applyAlignment="1" pivotButton="0" quotePrefix="0" xfId="0">
      <alignment horizontal="center" vertical="center"/>
    </xf>
    <xf numFmtId="168" fontId="83" fillId="15" borderId="5" applyAlignment="1" pivotButton="0" quotePrefix="0" xfId="0">
      <alignment horizontal="center" vertical="center"/>
    </xf>
    <xf numFmtId="165" fontId="83" fillId="19" borderId="5" applyAlignment="1" pivotButton="0" quotePrefix="0" xfId="0">
      <alignment horizontal="center" vertical="center"/>
    </xf>
    <xf numFmtId="165" fontId="83" fillId="12" borderId="5" applyAlignment="1" pivotButton="0" quotePrefix="0" xfId="0">
      <alignment horizontal="center" vertical="center"/>
    </xf>
    <xf numFmtId="0" fontId="69" fillId="23" borderId="5" applyAlignment="1" pivotButton="0" quotePrefix="0" xfId="0">
      <alignment horizontal="center" vertical="center"/>
    </xf>
    <xf numFmtId="0" fontId="69" fillId="26" borderId="5" applyAlignment="1" pivotButton="0" quotePrefix="0" xfId="0">
      <alignment horizontal="center" vertical="center"/>
    </xf>
    <xf numFmtId="0" fontId="69" fillId="23" borderId="16" applyAlignment="1" pivotButton="0" quotePrefix="0" xfId="0">
      <alignment horizontal="center" vertical="center"/>
    </xf>
    <xf numFmtId="0" fontId="69" fillId="23" borderId="18" applyAlignment="1" pivotButton="0" quotePrefix="0" xfId="0">
      <alignment horizontal="center" vertical="center"/>
    </xf>
    <xf numFmtId="0" fontId="69" fillId="26" borderId="21" applyAlignment="1" pivotButton="0" quotePrefix="0" xfId="0">
      <alignment horizontal="center" vertical="center"/>
    </xf>
    <xf numFmtId="165" fontId="69" fillId="23" borderId="5" applyAlignment="1" pivotButton="0" quotePrefix="0" xfId="0">
      <alignment horizontal="center" vertical="center"/>
    </xf>
    <xf numFmtId="165" fontId="69" fillId="26" borderId="5" applyAlignment="1" pivotButton="0" quotePrefix="0" xfId="0">
      <alignment horizontal="center" vertical="center"/>
    </xf>
    <xf numFmtId="0" fontId="79" fillId="22" borderId="10" applyAlignment="1" pivotButton="0" quotePrefix="0" xfId="0">
      <alignment horizontal="left" vertical="center"/>
    </xf>
    <xf numFmtId="0" fontId="69" fillId="23" borderId="26" applyAlignment="1" pivotButton="0" quotePrefix="0" xfId="0">
      <alignment horizontal="center" vertical="center"/>
    </xf>
    <xf numFmtId="0" fontId="84" fillId="24" borderId="5" applyAlignment="1" pivotButton="0" quotePrefix="0" xfId="0">
      <alignment horizontal="left" vertical="center"/>
    </xf>
    <xf numFmtId="167" fontId="85" fillId="24" borderId="5" applyAlignment="1" pivotButton="0" quotePrefix="0" xfId="0">
      <alignment horizontal="right" vertical="center"/>
    </xf>
    <xf numFmtId="165" fontId="86" fillId="24" borderId="5" applyAlignment="1" pivotButton="0" quotePrefix="0" xfId="0">
      <alignment horizontal="center" vertical="center"/>
    </xf>
    <xf numFmtId="0" fontId="87" fillId="24" borderId="5" applyAlignment="1" pivotButton="0" quotePrefix="0" xfId="0">
      <alignment horizontal="left" vertical="center"/>
    </xf>
    <xf numFmtId="0" fontId="84" fillId="27" borderId="5" applyAlignment="1" pivotButton="0" quotePrefix="0" xfId="0">
      <alignment horizontal="left" vertical="center"/>
    </xf>
    <xf numFmtId="167" fontId="85" fillId="27" borderId="5" applyAlignment="1" pivotButton="0" quotePrefix="0" xfId="0">
      <alignment horizontal="right" vertical="center"/>
    </xf>
    <xf numFmtId="165" fontId="86" fillId="27" borderId="5" applyAlignment="1" pivotButton="0" quotePrefix="0" xfId="0">
      <alignment horizontal="center" vertical="center"/>
    </xf>
    <xf numFmtId="0" fontId="87" fillId="27" borderId="5" applyAlignment="1" pivotButton="0" quotePrefix="0" xfId="0">
      <alignment horizontal="left" vertical="center"/>
    </xf>
    <xf numFmtId="0" fontId="84" fillId="28" borderId="5" applyAlignment="1" pivotButton="0" quotePrefix="0" xfId="0">
      <alignment horizontal="left" vertical="center"/>
    </xf>
    <xf numFmtId="167" fontId="85" fillId="28" borderId="5" applyAlignment="1" pivotButton="0" quotePrefix="0" xfId="0">
      <alignment horizontal="right" vertical="center"/>
    </xf>
    <xf numFmtId="165" fontId="86" fillId="28" borderId="5" applyAlignment="1" pivotButton="0" quotePrefix="0" xfId="0">
      <alignment horizontal="center" vertical="center"/>
    </xf>
    <xf numFmtId="0" fontId="87" fillId="28" borderId="5" applyAlignment="1" pivotButton="0" quotePrefix="0" xfId="0">
      <alignment horizontal="left" vertical="center"/>
    </xf>
    <xf numFmtId="0" fontId="84" fillId="29" borderId="5" applyAlignment="1" pivotButton="0" quotePrefix="0" xfId="0">
      <alignment horizontal="left" vertical="center"/>
    </xf>
    <xf numFmtId="167" fontId="85" fillId="29" borderId="5" applyAlignment="1" pivotButton="0" quotePrefix="0" xfId="0">
      <alignment horizontal="right" vertical="center"/>
    </xf>
    <xf numFmtId="165" fontId="86" fillId="29" borderId="5" applyAlignment="1" pivotButton="0" quotePrefix="0" xfId="0">
      <alignment horizontal="center" vertical="center"/>
    </xf>
    <xf numFmtId="0" fontId="87" fillId="29" borderId="5" applyAlignment="1" pivotButton="0" quotePrefix="0" xfId="0">
      <alignment horizontal="left" vertical="center"/>
    </xf>
    <xf numFmtId="0" fontId="88" fillId="30" borderId="26" applyAlignment="1" pivotButton="0" quotePrefix="0" xfId="0">
      <alignment horizontal="left" vertical="center"/>
    </xf>
    <xf numFmtId="167" fontId="89" fillId="30" borderId="26" applyAlignment="1" pivotButton="0" quotePrefix="0" xfId="0">
      <alignment horizontal="right" vertical="center"/>
    </xf>
    <xf numFmtId="165" fontId="90" fillId="30" borderId="26" applyAlignment="1" pivotButton="0" quotePrefix="0" xfId="0">
      <alignment horizontal="center" vertical="center"/>
    </xf>
    <xf numFmtId="0" fontId="87" fillId="30" borderId="26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6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4" customWidth="1" min="13" max="13"/>
    <col width="14" customWidth="1" min="14" max="14"/>
  </cols>
  <sheetData>
    <row r="1" ht="48" customHeight="1">
      <c r="A1" s="289" t="inlineStr">
        <is>
          <t>PROTEG-RT MUTUALIDAD</t>
        </is>
      </c>
    </row>
    <row r="2" ht="32" customHeight="1">
      <c r="A2" s="290" t="inlineStr">
        <is>
          <t>DASHBOARD — REPORTE DE COBRANZA JUNTA MENSUAL</t>
        </is>
      </c>
    </row>
    <row r="3" ht="26" customHeight="1">
      <c r="A3" s="291" t="inlineStr">
        <is>
          <t>AÑO 2026</t>
        </is>
      </c>
    </row>
    <row r="4" ht="8" customHeight="1">
      <c r="A4" s="89" t="n"/>
      <c r="B4" s="89" t="n"/>
      <c r="C4" s="89" t="n"/>
      <c r="D4" s="89" t="n"/>
      <c r="E4" s="89" t="n"/>
      <c r="F4" s="89" t="n"/>
      <c r="G4" s="89" t="n"/>
      <c r="H4" s="89" t="n"/>
      <c r="I4" s="89" t="n"/>
      <c r="J4" s="89" t="n"/>
      <c r="K4" s="89" t="n"/>
      <c r="L4" s="89" t="n"/>
      <c r="M4" s="89" t="n"/>
      <c r="N4" s="89" t="n"/>
    </row>
    <row r="5" ht="28" customHeight="1">
      <c r="A5" s="292" t="inlineStr">
        <is>
          <t>MES:</t>
        </is>
      </c>
      <c r="C5" s="293" t="inlineStr">
        <is>
          <t>FEBRERO</t>
        </is>
      </c>
      <c r="D5" s="162" t="n"/>
      <c r="E5" s="90" t="inlineStr">
        <is>
          <t>AÑO:</t>
        </is>
      </c>
      <c r="G5" s="293" t="inlineStr">
        <is>
          <t>← Cambia el mes aquí</t>
        </is>
      </c>
      <c r="H5" s="162" t="n"/>
    </row>
    <row r="7" ht="55" customHeight="1">
      <c r="A7" s="294" t="inlineStr">
        <is>
          <t>COBRANZA
TOTAL GENERAL</t>
        </is>
      </c>
      <c r="B7" s="45" t="n"/>
      <c r="C7" s="46" t="n"/>
      <c r="D7" s="295" t="inlineStr">
        <is>
          <t>COBRANZA
RECUPERADA</t>
        </is>
      </c>
      <c r="E7" s="45" t="n"/>
      <c r="F7" s="46" t="n"/>
      <c r="G7" s="296" t="inlineStr">
        <is>
          <t>COBRANZA
EFECTIVA</t>
        </is>
      </c>
      <c r="H7" s="45" t="n"/>
      <c r="I7" s="46" t="n"/>
      <c r="J7" s="220" t="inlineStr">
        <is>
          <t>CANCELACIONES</t>
        </is>
      </c>
      <c r="K7" s="45" t="n"/>
      <c r="L7" s="46" t="n"/>
      <c r="M7" s="38" t="n"/>
      <c r="N7" s="38" t="n"/>
    </row>
    <row r="8" ht="50" customHeight="1">
      <c r="A8" s="297">
        <f>INDIRECT("'ESTADISTICA 2026'!B"&amp;CHOOSE(MATCH($C$5,['ENERO', 'FEBRERO', 'MARZO', 'ABRIL', 'MAYO', 'JUNIO', 'JULIO', 'AGOSTO', 'SEPTIEMBRE', 'OCTUBRE', 'NOVIEMBRE', 'DICIEMBRE'],0),58,132,206,280,354,428,502,576,650,724,798,872))</f>
        <v/>
      </c>
      <c r="B8" s="163" t="n"/>
      <c r="C8" s="164" t="n"/>
      <c r="D8" s="298">
        <f>INDIRECT("'ESTADISTICA 2026'!B"&amp;CHOOSE(MATCH($C$5,['ENERO', 'FEBRERO', 'MARZO', 'ABRIL', 'MAYO', 'JUNIO', 'JULIO', 'AGOSTO', 'SEPTIEMBRE', 'OCTUBRE', 'NOVIEMBRE', 'DICIEMBRE'],0),49,123,197,271,345,419,493,567,641,715,789,863))</f>
        <v/>
      </c>
      <c r="E8" s="171" t="n"/>
      <c r="F8" s="172" t="n"/>
      <c r="G8" s="299">
        <f>INDIRECT("'ESTADISTICA 2026'!B"&amp;CHOOSE(MATCH($C$5,['ENERO', 'FEBRERO', 'MARZO', 'ABRIL', 'MAYO', 'JUNIO', 'JULIO', 'AGOSTO', 'SEPTIEMBRE', 'OCTUBRE', 'NOVIEMBRE', 'DICIEMBRE'],0),40,114,188,262,336,410,484,558,632,706,780,854))</f>
        <v/>
      </c>
      <c r="H8" s="169" t="n"/>
      <c r="I8" s="170" t="n"/>
      <c r="J8" s="224">
        <f>INDIRECT("'ESTADISTICA 2026'!B"&amp;CHOOSE(MATCH($C$5,['ENERO', 'FEBRERO', 'MARZO', 'ABRIL', 'MAYO', 'JUNIO', 'JULIO', 'AGOSTO', 'SEPTIEMBRE', 'OCTUBRE', 'NOVIEMBRE', 'DICIEMBRE'],0),20,96,170,244,318,392,466,540,614,688,762,836))</f>
        <v/>
      </c>
      <c r="K8" s="165" t="n"/>
      <c r="L8" s="166" t="n"/>
      <c r="M8" s="38" t="n"/>
      <c r="N8" s="38" t="n"/>
    </row>
    <row r="9" ht="22" customHeight="1">
      <c r="A9" s="300">
        <f>INDIRECT("'ESTADISTICA 2026'!B"&amp;CHOOSE(MATCH($C$5,['ENERO', 'FEBRERO', 'MARZO', 'ABRIL', 'MAYO', 'JUNIO', 'JULIO', 'AGOSTO', 'SEPTIEMBRE', 'OCTUBRE', 'NOVIEMBRE', 'DICIEMBRE'],0),20,96,170,244,318,392,466,540,614,688,762,836))/=INDIRECT("'ESTADISTICA 2026'!B"&amp;CHOOSE(MATCH($C$5,['ENERO', 'FEBRERO', 'MARZO', 'ABRIL', 'MAYO', 'JUNIO', 'JULIO', 'AGOSTO', 'SEPTIEMBRE', 'OCTUBRE', 'NOVIEMBRE', 'DICIEMBRE'],0),58,132,206,280,354,428,502,576,650,724,798,872))</f>
        <v/>
      </c>
      <c r="B9" s="45" t="n"/>
      <c r="C9" s="46" t="n"/>
      <c r="D9" s="301">
        <f>INDIRECT("'ESTADISTICA 2026'!B"&amp;CHOOSE(MATCH($C$5,['ENERO', 'FEBRERO', 'MARZO', 'ABRIL', 'MAYO', 'JUNIO', 'JULIO', 'AGOSTO', 'SEPTIEMBRE', 'OCTUBRE', 'NOVIEMBRE', 'DICIEMBRE'],0),49,123,197,271,345,419,493,567,641,715,789,863))/=INDIRECT("'ESTADISTICA 2026'!B"&amp;CHOOSE(MATCH($C$5,['ENERO', 'FEBRERO', 'MARZO', 'ABRIL', 'MAYO', 'JUNIO', 'JULIO', 'AGOSTO', 'SEPTIEMBRE', 'OCTUBRE', 'NOVIEMBRE', 'DICIEMBRE'],0),58,132,206,280,354,428,502,576,650,724,798,872))</f>
        <v/>
      </c>
      <c r="E9" s="45" t="n"/>
      <c r="F9" s="46" t="n"/>
      <c r="G9" s="302">
        <f>INDIRECT("'ESTADISTICA 2026'!B"&amp;CHOOSE(MATCH($C$5,['ENERO', 'FEBRERO', 'MARZO', 'ABRIL', 'MAYO', 'JUNIO', 'JULIO', 'AGOSTO', 'SEPTIEMBRE', 'OCTUBRE', 'NOVIEMBRE', 'DICIEMBRE'],0),40,114,188,262,336,410,484,558,632,706,780,854))/=INDIRECT("'ESTADISTICA 2026'!B"&amp;CHOOSE(MATCH($C$5,['ENERO', 'FEBRERO', 'MARZO', 'ABRIL', 'MAYO', 'JUNIO', 'JULIO', 'AGOSTO', 'SEPTIEMBRE', 'OCTUBRE', 'NOVIEMBRE', 'DICIEMBRE'],0),58,132,206,280,354,428,502,576,650,724,798,872))</f>
        <v/>
      </c>
      <c r="H9" s="45" t="n"/>
      <c r="I9" s="46" t="n"/>
      <c r="J9" s="267">
        <f>INDIRECT("'ESTADISTICA 2026'!B"&amp;CHOOSE(MATCH($C$5,['ENERO', 'FEBRERO', 'MARZO', 'ABRIL', 'MAYO', 'JUNIO', 'JULIO', 'AGOSTO', 'SEPTIEMBRE', 'OCTUBRE', 'NOVIEMBRE', 'DICIEMBRE'],0),31,105,179,253,327,401,475,549,623,697,771,845))/=INDIRECT("'ESTADISTICA 2026'!B"&amp;CHOOSE(MATCH($C$5,['ENERO', 'FEBRERO', 'MARZO', 'ABRIL', 'MAYO', 'JUNIO', 'JULIO', 'AGOSTO', 'SEPTIEMBRE', 'OCTUBRE', 'NOVIEMBRE', 'DICIEMBRE'],0),58,132,206,280,354,428,502,576,650,724,798,872))</f>
        <v/>
      </c>
      <c r="K9" s="45" t="n"/>
      <c r="L9" s="46" t="n"/>
      <c r="M9" s="38" t="n"/>
      <c r="N9" s="38" t="n"/>
    </row>
    <row r="10">
      <c r="A10" s="38" t="n"/>
      <c r="B10" s="38" t="n"/>
      <c r="C10" s="38" t="n"/>
      <c r="D10" s="38" t="n"/>
      <c r="E10" s="38" t="n"/>
      <c r="F10" s="38" t="n"/>
      <c r="G10" s="38" t="n"/>
      <c r="H10" s="38" t="n"/>
      <c r="I10" s="38" t="n"/>
      <c r="J10" s="38" t="n"/>
      <c r="K10" s="38" t="n"/>
      <c r="L10" s="38" t="n"/>
      <c r="M10" s="38" t="n"/>
      <c r="N10" s="38" t="n"/>
    </row>
    <row r="11" ht="32" customHeight="1">
      <c r="A11" s="303" t="inlineStr">
        <is>
          <t>COBRANZA
CORRIENTE</t>
        </is>
      </c>
      <c r="B11" s="45" t="n"/>
      <c r="C11" s="46" t="n"/>
      <c r="D11" s="303" t="inlineStr">
        <is>
          <t>COBRANZA
VENCIDA</t>
        </is>
      </c>
      <c r="E11" s="45" t="n"/>
      <c r="F11" s="46" t="n"/>
      <c r="G11" s="304" t="inlineStr">
        <is>
          <t>COBRANZA
ANTICIPADA</t>
        </is>
      </c>
      <c r="H11" s="45" t="n"/>
      <c r="I11" s="46" t="n"/>
      <c r="J11" s="231" t="inlineStr">
        <is>
          <t>PROYECCION
SIG. MES</t>
        </is>
      </c>
      <c r="K11" s="45" t="n"/>
      <c r="L11" s="46" t="n"/>
      <c r="M11" s="38" t="n"/>
      <c r="N11" s="38" t="n"/>
    </row>
    <row r="12" ht="32" customHeight="1">
      <c r="A12" s="305">
        <f>INDIRECT("'ESTADISTICA 2026'!B"&amp;CHOOSE(MATCH($C$5,['ENERO', 'FEBRERO', 'MARZO', 'ABRIL', 'MAYO', 'JUNIO', 'JULIO', 'AGOSTO', 'SEPTIEMBRE', 'OCTUBRE', 'NOVIEMBRE', 'DICIEMBRE'],0),11,87,161,235,309,383,457,531,605,679,753,827))</f>
        <v/>
      </c>
      <c r="B12" s="163" t="n"/>
      <c r="C12" s="164" t="n"/>
      <c r="D12" s="306">
        <f>INDIRECT("'ESTADISTICA 2026'!B"&amp;CHOOSE(MATCH($C$5,['ENERO', 'FEBRERO', 'MARZO', 'ABRIL', 'MAYO', 'JUNIO', 'JULIO', 'AGOSTO', 'SEPTIEMBRE', 'OCTUBRE', 'NOVIEMBRE', 'DICIEMBRE'],0),31,105,179,253,327,401,475,549,623,697,771,845))</f>
        <v/>
      </c>
      <c r="E12" s="167" t="n"/>
      <c r="F12" s="168" t="n"/>
      <c r="G12" s="307">
        <f>INDIRECT("'ESTADISTICA 2026'!B"&amp;CHOOSE(MATCH($C$5,['ENERO', 'FEBRERO', 'MARZO', 'ABRIL', 'MAYO', 'JUNIO', 'JULIO', 'AGOSTO', 'SEPTIEMBRE', 'OCTUBRE', 'NOVIEMBRE', 'DICIEMBRE'],0),67,141,215,289,363,437,511,585,659,733,807,881))</f>
        <v/>
      </c>
      <c r="H12" s="173" t="n"/>
      <c r="I12" s="174" t="n"/>
      <c r="J12" s="234">
        <f>INDIRECT("'ESTADISTICA 2026'!B"&amp;CHOOSE(MATCH($C$5,['ENERO', 'FEBRERO', 'MARZO', 'ABRIL', 'MAYO', 'JUNIO', 'JULIO', 'AGOSTO', 'SEPTIEMBRE', 'OCTUBRE', 'NOVIEMBRE', 'DICIEMBRE'],0),76,150,224,298,372,446,520,594,668,742,816,890))</f>
        <v/>
      </c>
      <c r="K12" s="175" t="n"/>
      <c r="L12" s="162" t="n"/>
      <c r="M12" s="38" t="n"/>
      <c r="N12" s="38" t="n"/>
    </row>
    <row r="13" ht="32" customHeight="1">
      <c r="A13" s="303">
        <f>INDIRECT("'ESTADISTICA 2026'!B"&amp;CHOOSE(MATCH($C$5,['ENERO', 'FEBRERO', 'MARZO', 'ABRIL', 'MAYO', 'JUNIO', 'JULIO', 'AGOSTO', 'SEPTIEMBRE', 'OCTUBRE', 'NOVIEMBRE', 'DICIEMBRE'],0),11,87,161,235,309,383,457,531,605,679,753,827))/=INDIRECT("'ESTADISTICA 2026'!B"&amp;CHOOSE(MATCH($C$5,['ENERO', 'FEBRERO', 'MARZO', 'ABRIL', 'MAYO', 'JUNIO', 'JULIO', 'AGOSTO', 'SEPTIEMBRE', 'OCTUBRE', 'NOVIEMBRE', 'DICIEMBRE'],0),58,132,206,280,354,428,502,576,650,724,798,872))</f>
        <v/>
      </c>
      <c r="B13" s="45" t="n"/>
      <c r="C13" s="46" t="n"/>
      <c r="D13" s="308">
        <f>INDIRECT("'ESTADISTICA 2026'!B"&amp;CHOOSE(MATCH($C$5,['ENERO', 'FEBRERO', 'MARZO', 'ABRIL', 'MAYO', 'JUNIO', 'JULIO', 'AGOSTO', 'SEPTIEMBRE', 'OCTUBRE', 'NOVIEMBRE', 'DICIEMBRE'],0),31,105,179,253,327,401,475,549,623,697,771,845))/=INDIRECT("'ESTADISTICA 2026'!B"&amp;CHOOSE(MATCH($C$5,['ENERO', 'FEBRERO', 'MARZO', 'ABRIL', 'MAYO', 'JUNIO', 'JULIO', 'AGOSTO', 'SEPTIEMBRE', 'OCTUBRE', 'NOVIEMBRE', 'DICIEMBRE'],0),58,132,206,280,354,428,502,576,650,724,798,872))</f>
        <v/>
      </c>
      <c r="E13" s="45" t="n"/>
      <c r="F13" s="46" t="n"/>
      <c r="G13" s="309">
        <f>INDIRECT("'ESTADISTICA 2026'!B"&amp;CHOOSE(MATCH($C$5,['ENERO', 'FEBRERO', 'MARZO', 'ABRIL', 'MAYO', 'JUNIO', 'JULIO', 'AGOSTO', 'SEPTIEMBRE', 'OCTUBRE', 'NOVIEMBRE', 'DICIEMBRE'],0),67,141,215,289,363,437,511,585,659,733,807,881))/=INDIRECT("'ESTADISTICA 2026'!B"&amp;CHOOSE(MATCH($C$5,['ENERO', 'FEBRERO', 'MARZO', 'ABRIL', 'MAYO', 'JUNIO', 'JULIO', 'AGOSTO', 'SEPTIEMBRE', 'OCTUBRE', 'NOVIEMBRE', 'DICIEMBRE'],0),58,132,206,280,354,428,502,576,650,724,798,872))</f>
        <v/>
      </c>
      <c r="H13" s="45" t="n"/>
      <c r="I13" s="46" t="n"/>
      <c r="J13" s="270">
        <f>INDIRECT("'ESTADISTICA 2026'!B"&amp;CHOOSE(MATCH($C$5,['ENERO', 'FEBRERO', 'MARZO', 'ABRIL', 'MAYO', 'JUNIO', 'JULIO', 'AGOSTO', 'SEPTIEMBRE', 'OCTUBRE', 'NOVIEMBRE', 'DICIEMBRE'],0),76,150,224,298,372,446,520,594,668,742,816,890))/=INDIRECT("'ESTADISTICA 2026'!B"&amp;CHOOSE(MATCH($C$5,['ENERO', 'FEBRERO', 'MARZO', 'ABRIL', 'MAYO', 'JUNIO', 'JULIO', 'AGOSTO', 'SEPTIEMBRE', 'OCTUBRE', 'NOVIEMBRE', 'DICIEMBRE'],0),58,132,206,280,354,428,502,576,650,724,798,872))</f>
        <v/>
      </c>
      <c r="K13" s="45" t="n"/>
      <c r="L13" s="46" t="n"/>
      <c r="M13" s="38" t="n"/>
      <c r="N13" s="38" t="n"/>
    </row>
    <row r="14" ht="32" customHeight="1">
      <c r="A14" s="303" t="n"/>
      <c r="B14" s="38" t="n"/>
      <c r="C14" s="38" t="n"/>
      <c r="D14" s="303" t="n"/>
      <c r="E14" s="38" t="n"/>
      <c r="F14" s="38" t="n"/>
      <c r="G14" s="304" t="n"/>
      <c r="H14" s="38" t="n"/>
      <c r="I14" s="38" t="n"/>
      <c r="J14" s="38" t="n"/>
      <c r="K14" s="38" t="n"/>
      <c r="L14" s="38" t="n"/>
      <c r="M14" s="38" t="n"/>
      <c r="N14" s="38" t="n"/>
    </row>
    <row r="15" ht="8" customHeight="1">
      <c r="A15" s="238" t="n"/>
      <c r="B15" s="238" t="n"/>
      <c r="C15" s="238" t="n"/>
      <c r="D15" s="238" t="n"/>
      <c r="E15" s="238" t="n"/>
      <c r="F15" s="238" t="n"/>
      <c r="G15" s="238" t="n"/>
      <c r="H15" s="238" t="n"/>
      <c r="I15" s="238" t="n"/>
      <c r="J15" s="238" t="n"/>
      <c r="K15" s="238" t="n"/>
      <c r="L15" s="238" t="n"/>
      <c r="M15" s="238" t="n"/>
      <c r="N15" s="238" t="n"/>
    </row>
    <row r="16" ht="22" customHeight="1">
      <c r="A16" s="310" t="inlineStr">
        <is>
          <t>CONCENTRADO GENERAL — DISTRIBUCIÓN DEL MES</t>
        </is>
      </c>
      <c r="B16" s="114" t="n"/>
      <c r="C16" s="114" t="n"/>
      <c r="D16" s="114" t="n"/>
      <c r="E16" s="114" t="n"/>
      <c r="F16" s="114" t="n"/>
      <c r="G16" s="114" t="n"/>
      <c r="H16" s="114" t="n"/>
      <c r="I16" s="114" t="n"/>
      <c r="J16" s="114" t="n"/>
      <c r="K16" s="114" t="n"/>
      <c r="L16" s="114" t="n"/>
      <c r="M16" s="114" t="n"/>
      <c r="N16" s="115" t="n"/>
    </row>
    <row r="17" ht="18" customHeight="1">
      <c r="A17" s="311" t="inlineStr">
        <is>
          <t>CONCEPTO</t>
        </is>
      </c>
      <c r="B17" s="311" t="inlineStr">
        <is>
          <t>TOTAL ($)</t>
        </is>
      </c>
      <c r="C17" s="38" t="n"/>
      <c r="D17" s="311" t="inlineStr">
        <is>
          <t>% PARTICIP.</t>
        </is>
      </c>
      <c r="E17" s="38" t="n"/>
      <c r="F17" s="311" t="inlineStr">
        <is>
          <t>ESTATUS</t>
        </is>
      </c>
      <c r="G17" s="38" t="n"/>
      <c r="H17" s="38" t="n"/>
      <c r="I17" s="38" t="n"/>
      <c r="J17" s="38" t="n"/>
      <c r="K17" s="38" t="n"/>
      <c r="L17" s="38" t="n"/>
      <c r="M17" s="38" t="n"/>
      <c r="N17" s="38" t="n"/>
    </row>
    <row r="18" ht="18" customHeight="1">
      <c r="A18" s="312" t="inlineStr">
        <is>
          <t>COBRANZA TOTAL GENERAL</t>
        </is>
      </c>
      <c r="B18" s="313">
        <f>INDIRECT("'ESTADISTICA 2026'!B"&amp;CHOOSE(MATCH($C$5,['ENERO', 'FEBRERO', 'MARZO', 'ABRIL', 'MAYO', 'JUNIO', 'JULIO', 'AGOSTO', 'SEPTIEMBRE', 'OCTUBRE', 'NOVIEMBRE', 'DICIEMBRE'],0),58,132,206,280,354,428,502,576,650,724,798,872))</f>
        <v/>
      </c>
      <c r="C18" s="38" t="n"/>
      <c r="D18" s="314">
        <f>B18/B23</f>
        <v/>
      </c>
      <c r="E18" s="38" t="n"/>
      <c r="F18" s="315" t="inlineStr">
        <is>
          <t>Base del periodo</t>
        </is>
      </c>
      <c r="G18" s="38" t="n"/>
      <c r="H18" s="38" t="n"/>
      <c r="I18" s="38" t="n"/>
      <c r="J18" s="38" t="n"/>
      <c r="K18" s="38" t="n"/>
      <c r="L18" s="38" t="n"/>
      <c r="M18" s="38" t="n"/>
      <c r="N18" s="38" t="n"/>
    </row>
    <row r="19" ht="18" customHeight="1">
      <c r="A19" s="316" t="inlineStr">
        <is>
          <t>COBRANZA RECUPERADA</t>
        </is>
      </c>
      <c r="B19" s="317">
        <f>INDIRECT("'ESTADISTICA 2026'!B"&amp;CHOOSE(MATCH($C$5,['ENERO', 'FEBRERO', 'MARZO', 'ABRIL', 'MAYO', 'JUNIO', 'JULIO', 'AGOSTO', 'SEPTIEMBRE', 'OCTUBRE', 'NOVIEMBRE', 'DICIEMBRE'],0),49,123,197,271,345,419,493,567,641,715,789,863))</f>
        <v/>
      </c>
      <c r="C19" s="38" t="n"/>
      <c r="D19" s="318">
        <f>B19/B23</f>
        <v/>
      </c>
      <c r="E19" s="38" t="n"/>
      <c r="F19" s="319" t="inlineStr">
        <is>
          <t>Acumulado del mes</t>
        </is>
      </c>
      <c r="G19" s="38" t="n"/>
      <c r="H19" s="38" t="n"/>
      <c r="I19" s="38" t="n"/>
      <c r="J19" s="38" t="n"/>
      <c r="K19" s="38" t="n"/>
      <c r="L19" s="38" t="n"/>
      <c r="M19" s="38" t="n"/>
      <c r="N19" s="38" t="n"/>
    </row>
    <row r="20" ht="18" customHeight="1">
      <c r="A20" s="320" t="inlineStr">
        <is>
          <t>COBRANZA EFECTIVA</t>
        </is>
      </c>
      <c r="B20" s="321">
        <f>INDIRECT("'ESTADISTICA 2026'!B"&amp;CHOOSE(MATCH($C$5,['ENERO', 'FEBRERO', 'MARZO', 'ABRIL', 'MAYO', 'JUNIO', 'JULIO', 'AGOSTO', 'SEPTIEMBRE', 'OCTUBRE', 'NOVIEMBRE', 'DICIEMBRE'],0),40,114,188,262,336,410,484,558,632,706,780,854))</f>
        <v/>
      </c>
      <c r="C20" s="38" t="n"/>
      <c r="D20" s="322">
        <f>B20/B23</f>
        <v/>
      </c>
      <c r="E20" s="38" t="n"/>
      <c r="F20" s="323" t="inlineStr">
        <is>
          <t>Cobrado en el mes</t>
        </is>
      </c>
      <c r="G20" s="38" t="n"/>
      <c r="H20" s="38" t="n"/>
      <c r="I20" s="38" t="n"/>
      <c r="J20" s="38" t="n"/>
      <c r="K20" s="38" t="n"/>
      <c r="L20" s="38" t="n"/>
      <c r="M20" s="38" t="n"/>
      <c r="N20" s="38" t="n"/>
    </row>
    <row r="21" ht="18" customHeight="1">
      <c r="A21" s="324" t="inlineStr">
        <is>
          <t>CANCELACIONES</t>
        </is>
      </c>
      <c r="B21" s="325">
        <f>INDIRECT("'ESTADISTICA 2026'!B"&amp;CHOOSE(MATCH($C$5,['ENERO', 'FEBRERO', 'MARZO', 'ABRIL', 'MAYO', 'JUNIO', 'JULIO', 'AGOSTO', 'SEPTIEMBRE', 'OCTUBRE', 'NOVIEMBRE', 'DICIEMBRE'],0),20,96,170,244,318,392,466,540,614,688,762,836))</f>
        <v/>
      </c>
      <c r="C21" s="38" t="n"/>
      <c r="D21" s="326">
        <f>B21/B23</f>
        <v/>
      </c>
      <c r="E21" s="38" t="n"/>
      <c r="F21" s="327" t="inlineStr">
        <is>
          <t>Pendiente</t>
        </is>
      </c>
      <c r="G21" s="38" t="n"/>
      <c r="H21" s="38" t="n"/>
      <c r="I21" s="38" t="n"/>
      <c r="J21" s="38" t="n"/>
      <c r="K21" s="38" t="n"/>
      <c r="L21" s="38" t="n"/>
      <c r="M21" s="38" t="n"/>
      <c r="N21" s="38" t="n"/>
    </row>
    <row r="22" ht="18" customHeight="1">
      <c r="A22" s="324" t="inlineStr">
        <is>
          <t>COBRANZA VENCIDA</t>
        </is>
      </c>
      <c r="B22" s="325">
        <f>INDIRECT("'ESTADISTICA 2026'!B"&amp;CHOOSE(MATCH($C$5,['ENERO', 'FEBRERO', 'MARZO', 'ABRIL', 'MAYO', 'JUNIO', 'JULIO', 'AGOSTO', 'SEPTIEMBRE', 'OCTUBRE', 'NOVIEMBRE', 'DICIEMBRE'],0),31,105,179,253,327,401,475,549,623,697,771,845))</f>
        <v/>
      </c>
      <c r="C22" s="38" t="n"/>
      <c r="D22" s="326">
        <f>B22/B23</f>
        <v/>
      </c>
      <c r="E22" s="38" t="n"/>
      <c r="F22" s="327" t="inlineStr">
        <is>
          <t>En riesgo</t>
        </is>
      </c>
      <c r="G22" s="38" t="n"/>
      <c r="H22" s="38" t="n"/>
      <c r="I22" s="38" t="n"/>
      <c r="J22" s="38" t="n"/>
      <c r="K22" s="38" t="n"/>
      <c r="L22" s="38" t="n"/>
      <c r="M22" s="38" t="n"/>
      <c r="N22" s="38" t="n"/>
    </row>
    <row r="23" ht="24" customHeight="1">
      <c r="A23" s="328" t="inlineStr">
        <is>
          <t>TOTAL ACUMULADO</t>
        </is>
      </c>
      <c r="B23" s="329">
        <f>B18+B19+B20+B21+B22</f>
        <v/>
      </c>
      <c r="C23" s="130" t="n"/>
      <c r="D23" s="330">
        <f>B23/B23</f>
        <v/>
      </c>
      <c r="E23" s="130" t="n"/>
      <c r="F23" s="331" t="inlineStr">
        <is>
          <t>Suma de todos los conceptos</t>
        </is>
      </c>
      <c r="G23" s="130" t="n"/>
      <c r="H23" s="130" t="n"/>
      <c r="I23" s="130" t="n"/>
      <c r="J23" s="130" t="n"/>
      <c r="K23" s="130" t="n"/>
      <c r="L23" s="130" t="n"/>
      <c r="M23" s="130" t="n"/>
      <c r="N23" s="130" t="n"/>
    </row>
    <row r="24" ht="22" customHeight="1">
      <c r="A24" s="239" t="n"/>
      <c r="B24" s="45" t="n"/>
      <c r="C24" s="45" t="n"/>
      <c r="D24" s="45" t="n"/>
      <c r="E24" s="45" t="n"/>
      <c r="F24" s="45" t="n"/>
      <c r="G24" s="45" t="n"/>
      <c r="H24" s="45" t="n"/>
      <c r="I24" s="45" t="n"/>
      <c r="J24" s="45" t="n"/>
      <c r="K24" s="45" t="n"/>
      <c r="L24" s="45" t="n"/>
      <c r="M24" s="45" t="n"/>
      <c r="N24" s="46" t="n"/>
    </row>
    <row r="25" ht="20" customHeight="1">
      <c r="A25" s="133" t="inlineStr">
        <is>
          <t>COBRANZA CORRIENTE</t>
        </is>
      </c>
      <c r="E25" s="134" t="inlineStr">
        <is>
          <t>CANCELACIONES</t>
        </is>
      </c>
      <c r="I25" s="135" t="inlineStr">
        <is>
          <t>COBRANZA VENCIDA</t>
        </is>
      </c>
      <c r="M25" s="136" t="inlineStr">
        <is>
          <t>COBRANZA EFECTIVA</t>
        </is>
      </c>
    </row>
    <row r="26" ht="15" customHeight="1">
      <c r="A26" s="137" t="inlineStr">
        <is>
          <t>LUGAR</t>
        </is>
      </c>
      <c r="B26" s="137" t="inlineStr">
        <is>
          <t>VENDEDOR</t>
        </is>
      </c>
      <c r="C26" s="137" t="inlineStr">
        <is>
          <t>MONTO</t>
        </is>
      </c>
      <c r="E26" s="138" t="inlineStr">
        <is>
          <t>LUGAR</t>
        </is>
      </c>
      <c r="F26" s="138" t="inlineStr">
        <is>
          <t>VENDEDOR</t>
        </is>
      </c>
      <c r="G26" s="138" t="inlineStr">
        <is>
          <t>MONTO</t>
        </is>
      </c>
      <c r="I26" s="139" t="inlineStr">
        <is>
          <t>LUGAR</t>
        </is>
      </c>
      <c r="J26" s="139" t="inlineStr">
        <is>
          <t>VENDEDOR</t>
        </is>
      </c>
      <c r="K26" s="139" t="inlineStr">
        <is>
          <t>MONTO</t>
        </is>
      </c>
      <c r="M26" s="140" t="inlineStr">
        <is>
          <t>LUGAR</t>
        </is>
      </c>
      <c r="N26" s="140" t="inlineStr">
        <is>
          <t>VENDEDOR</t>
        </is>
      </c>
      <c r="O26" s="140" t="inlineStr">
        <is>
          <t>MONTO</t>
        </is>
      </c>
    </row>
    <row r="27" ht="16" customHeight="1">
      <c r="A27" s="141" t="inlineStr">
        <is>
          <t>1er</t>
        </is>
      </c>
      <c r="B27" s="142" t="inlineStr">
        <is>
          <t>V6</t>
        </is>
      </c>
      <c r="C27" s="143" t="n">
        <v>356324</v>
      </c>
      <c r="E27" s="144" t="inlineStr">
        <is>
          <t>1er</t>
        </is>
      </c>
      <c r="F27" s="145" t="inlineStr">
        <is>
          <t>V38</t>
        </is>
      </c>
      <c r="G27" s="146" t="n">
        <v>21035</v>
      </c>
      <c r="I27" s="147" t="inlineStr">
        <is>
          <t>1er</t>
        </is>
      </c>
      <c r="J27" s="148" t="inlineStr">
        <is>
          <t>V39 JOSE</t>
        </is>
      </c>
      <c r="K27" s="149" t="n">
        <v>70796.5</v>
      </c>
      <c r="M27" s="150" t="inlineStr">
        <is>
          <t>1er</t>
        </is>
      </c>
      <c r="N27" s="151" t="inlineStr">
        <is>
          <t>EDGAR</t>
        </is>
      </c>
      <c r="O27" s="152" t="n">
        <v>150839</v>
      </c>
    </row>
    <row r="28" ht="16" customHeight="1">
      <c r="A28" s="153" t="inlineStr">
        <is>
          <t>2o</t>
        </is>
      </c>
      <c r="B28" s="154" t="inlineStr">
        <is>
          <t>V1</t>
        </is>
      </c>
      <c r="C28" s="155" t="n">
        <v>297307</v>
      </c>
      <c r="E28" s="153" t="inlineStr">
        <is>
          <t>2o</t>
        </is>
      </c>
      <c r="F28" s="154" t="inlineStr">
        <is>
          <t>V56</t>
        </is>
      </c>
      <c r="G28" s="155" t="n">
        <v>17664</v>
      </c>
      <c r="I28" s="153" t="inlineStr">
        <is>
          <t>2o</t>
        </is>
      </c>
      <c r="J28" s="154" t="inlineStr">
        <is>
          <t>JORGE</t>
        </is>
      </c>
      <c r="K28" s="155" t="n">
        <v>40169</v>
      </c>
      <c r="M28" s="153" t="inlineStr">
        <is>
          <t>2o</t>
        </is>
      </c>
      <c r="N28" s="154" t="inlineStr">
        <is>
          <t>FRANCISCO</t>
        </is>
      </c>
      <c r="O28" s="155" t="n">
        <v>140739</v>
      </c>
    </row>
    <row r="29" ht="16" customHeight="1">
      <c r="A29" s="141" t="inlineStr">
        <is>
          <t>3o</t>
        </is>
      </c>
      <c r="B29" s="142" t="inlineStr">
        <is>
          <t>V38</t>
        </is>
      </c>
      <c r="C29" s="143" t="n">
        <v>241116</v>
      </c>
      <c r="E29" s="144" t="inlineStr">
        <is>
          <t>3o</t>
        </is>
      </c>
      <c r="F29" s="145" t="inlineStr">
        <is>
          <t>V6</t>
        </is>
      </c>
      <c r="G29" s="146" t="n">
        <v>15924</v>
      </c>
      <c r="I29" s="147" t="inlineStr">
        <is>
          <t>3er</t>
        </is>
      </c>
      <c r="J29" s="148" t="inlineStr">
        <is>
          <t>EDGAR</t>
        </is>
      </c>
      <c r="K29" s="149" t="n">
        <v>35046</v>
      </c>
      <c r="M29" s="150" t="inlineStr">
        <is>
          <t>3o</t>
        </is>
      </c>
      <c r="N29" s="151" t="inlineStr">
        <is>
          <t>EDUARDO</t>
        </is>
      </c>
      <c r="O29" s="152" t="n">
        <v>91742</v>
      </c>
    </row>
    <row r="30" ht="16" customHeight="1">
      <c r="A30" s="153" t="inlineStr">
        <is>
          <t>4o</t>
        </is>
      </c>
      <c r="B30" s="154" t="inlineStr">
        <is>
          <t>V39</t>
        </is>
      </c>
      <c r="C30" s="155" t="n">
        <v>176093</v>
      </c>
      <c r="E30" s="153" t="inlineStr">
        <is>
          <t>4o</t>
        </is>
      </c>
      <c r="F30" s="154" t="inlineStr">
        <is>
          <t>V84</t>
        </is>
      </c>
      <c r="G30" s="155" t="n">
        <v>14374</v>
      </c>
      <c r="I30" s="153" t="inlineStr">
        <is>
          <t>4o</t>
        </is>
      </c>
      <c r="J30" s="154" t="inlineStr">
        <is>
          <t>FRANCISCO</t>
        </is>
      </c>
      <c r="K30" s="155" t="n">
        <v>34647</v>
      </c>
      <c r="M30" s="153" t="inlineStr">
        <is>
          <t>4o</t>
        </is>
      </c>
      <c r="N30" s="154" t="inlineStr">
        <is>
          <t>JORGE</t>
        </is>
      </c>
      <c r="O30" s="155" t="n">
        <v>88710</v>
      </c>
    </row>
    <row r="31" ht="16" customHeight="1">
      <c r="A31" s="141" t="inlineStr">
        <is>
          <t>5o</t>
        </is>
      </c>
      <c r="B31" s="142" t="inlineStr">
        <is>
          <t>V56</t>
        </is>
      </c>
      <c r="C31" s="143" t="n">
        <v>130775</v>
      </c>
      <c r="E31" s="144" t="inlineStr">
        <is>
          <t>5o</t>
        </is>
      </c>
      <c r="F31" s="145" t="inlineStr">
        <is>
          <t>V1</t>
        </is>
      </c>
      <c r="G31" s="146" t="n">
        <v>13188</v>
      </c>
      <c r="I31" s="147" t="inlineStr">
        <is>
          <t>5o</t>
        </is>
      </c>
      <c r="J31" s="148" t="inlineStr">
        <is>
          <t>DEPOSITO</t>
        </is>
      </c>
      <c r="K31" s="149" t="n">
        <v>24103.81</v>
      </c>
      <c r="M31" s="150" t="inlineStr">
        <is>
          <t>5o</t>
        </is>
      </c>
      <c r="N31" s="151" t="inlineStr">
        <is>
          <t>OFICINA</t>
        </is>
      </c>
      <c r="O31" s="152" t="n">
        <v>28000</v>
      </c>
    </row>
    <row r="36" ht="8" customHeight="1">
      <c r="A36" s="89" t="n"/>
      <c r="B36" s="89" t="n"/>
      <c r="C36" s="89" t="n"/>
      <c r="D36" s="89" t="n"/>
      <c r="E36" s="89" t="n"/>
      <c r="F36" s="89" t="n"/>
      <c r="G36" s="89" t="n"/>
      <c r="H36" s="89" t="n"/>
      <c r="I36" s="89" t="n"/>
      <c r="J36" s="89" t="n"/>
      <c r="K36" s="89" t="n"/>
      <c r="L36" s="89" t="n"/>
      <c r="M36" s="89" t="n"/>
      <c r="N36" s="89" t="n"/>
    </row>
    <row r="37" ht="22" customHeight="1">
      <c r="A37" s="113" t="inlineStr">
        <is>
          <t>TENDENCIA MENSUAL — EVOLUCIÓN POR MES</t>
        </is>
      </c>
      <c r="B37" s="114" t="n"/>
      <c r="C37" s="114" t="n"/>
      <c r="D37" s="114" t="n"/>
      <c r="E37" s="114" t="n"/>
      <c r="F37" s="114" t="n"/>
      <c r="G37" s="114" t="n"/>
      <c r="H37" s="114" t="n"/>
      <c r="I37" s="114" t="n"/>
      <c r="J37" s="114" t="n"/>
      <c r="K37" s="114" t="n"/>
      <c r="L37" s="114" t="n"/>
      <c r="M37" s="114" t="n"/>
      <c r="N37" s="115" t="n"/>
    </row>
    <row r="38" ht="18" customHeight="1">
      <c r="A38" s="116" t="inlineStr">
        <is>
          <t>MES</t>
        </is>
      </c>
      <c r="B38" s="116" t="inlineStr">
        <is>
          <t>EFECTIVA ($)</t>
        </is>
      </c>
      <c r="C38" s="116" t="inlineStr">
        <is>
          <t>VENCIDA ($)</t>
        </is>
      </c>
      <c r="D38" s="116" t="inlineStr">
        <is>
          <t>RECUPERADA ($)</t>
        </is>
      </c>
      <c r="E38" s="116" t="inlineStr">
        <is>
          <t>TOTAL GRAL ($)</t>
        </is>
      </c>
    </row>
    <row r="39" ht="18" customHeight="1">
      <c r="A39" s="156" t="inlineStr">
        <is>
          <t>ENE 2026</t>
        </is>
      </c>
      <c r="B39" s="157" t="n">
        <v>1228968</v>
      </c>
      <c r="C39" s="157" t="n">
        <v>166220</v>
      </c>
      <c r="D39" s="157" t="n">
        <v>115277</v>
      </c>
      <c r="E39" s="157" t="n">
        <v>1408644</v>
      </c>
    </row>
    <row r="40">
      <c r="A40" t="inlineStr">
        <is>
          <t>FEB 2026</t>
        </is>
      </c>
      <c r="B40" t="n">
        <v>1110578</v>
      </c>
      <c r="C40" t="n">
        <v>251487.31</v>
      </c>
      <c r="D40" t="n">
        <v>94027</v>
      </c>
      <c r="E40" t="n">
        <v>1251614</v>
      </c>
    </row>
    <row r="41" ht="16" customHeight="1">
      <c r="A41" s="158" t="inlineStr">
        <is>
          <t>Los datos de meses adicionales se integran automaticamente al cargar cada mes en la plantilla principal.</t>
        </is>
      </c>
    </row>
    <row r="43" ht="16" customHeight="1">
      <c r="A43" s="216" t="inlineStr">
        <is>
          <t>PROTEG-RT MUTUALIDAD  |  Gerencia de Cobranza  |  Reporte Mensual — Luna Dashboard</t>
        </is>
      </c>
    </row>
    <row r="50">
      <c r="A50" t="inlineStr">
        <is>
          <t>MES</t>
        </is>
      </c>
      <c r="B50" t="inlineStr">
        <is>
          <t>DATA_ROW</t>
        </is>
      </c>
    </row>
    <row r="51">
      <c r="A51" t="inlineStr">
        <is>
          <t>ENERO</t>
        </is>
      </c>
      <c r="B51" t="n">
        <v>5</v>
      </c>
    </row>
    <row r="52">
      <c r="A52" t="inlineStr">
        <is>
          <t>FEBRERO</t>
        </is>
      </c>
      <c r="B52" t="n">
        <v>79</v>
      </c>
    </row>
    <row r="53">
      <c r="A53" t="inlineStr">
        <is>
          <t>MARZO</t>
        </is>
      </c>
      <c r="B53" t="n">
        <v>153</v>
      </c>
    </row>
    <row r="54">
      <c r="A54" t="inlineStr">
        <is>
          <t>ABRIL</t>
        </is>
      </c>
      <c r="B54" t="n">
        <v>227</v>
      </c>
    </row>
    <row r="55">
      <c r="A55" t="inlineStr">
        <is>
          <t>MAYO</t>
        </is>
      </c>
      <c r="B55" t="n">
        <v>301</v>
      </c>
    </row>
    <row r="56">
      <c r="A56" t="inlineStr">
        <is>
          <t>JUNIO</t>
        </is>
      </c>
      <c r="B56" t="n">
        <v>375</v>
      </c>
    </row>
    <row r="57">
      <c r="A57" t="inlineStr">
        <is>
          <t>JULIO</t>
        </is>
      </c>
      <c r="B57" t="n">
        <v>449</v>
      </c>
    </row>
    <row r="58">
      <c r="A58" t="inlineStr">
        <is>
          <t>AGOSTO</t>
        </is>
      </c>
      <c r="B58" t="n">
        <v>523</v>
      </c>
    </row>
    <row r="59">
      <c r="A59" t="inlineStr">
        <is>
          <t>SEPTIEMBRE</t>
        </is>
      </c>
      <c r="B59" t="n">
        <v>597</v>
      </c>
    </row>
    <row r="60">
      <c r="A60" t="inlineStr">
        <is>
          <t>OCTUBRE</t>
        </is>
      </c>
      <c r="B60" t="n">
        <v>671</v>
      </c>
    </row>
    <row r="61">
      <c r="A61" t="inlineStr">
        <is>
          <t>NOVIEMBRE</t>
        </is>
      </c>
      <c r="B61" t="n">
        <v>745</v>
      </c>
    </row>
    <row r="62">
      <c r="A62" t="inlineStr">
        <is>
          <t>DICIEMBRE</t>
        </is>
      </c>
      <c r="B62" t="n">
        <v>819</v>
      </c>
    </row>
  </sheetData>
  <mergeCells count="40">
    <mergeCell ref="A25:C25"/>
    <mergeCell ref="D11:F11"/>
    <mergeCell ref="D13:F13"/>
    <mergeCell ref="G13:I13"/>
    <mergeCell ref="A24:N24"/>
    <mergeCell ref="C5:D5"/>
    <mergeCell ref="E5:F5"/>
    <mergeCell ref="M25:O25"/>
    <mergeCell ref="D7:F7"/>
    <mergeCell ref="A12:C12"/>
    <mergeCell ref="J11:L11"/>
    <mergeCell ref="A1:N1"/>
    <mergeCell ref="J7:L7"/>
    <mergeCell ref="A8:C8"/>
    <mergeCell ref="A16:N16"/>
    <mergeCell ref="D12:F12"/>
    <mergeCell ref="D9:F9"/>
    <mergeCell ref="A41:N41"/>
    <mergeCell ref="J12:L12"/>
    <mergeCell ref="D8:F8"/>
    <mergeCell ref="A37:N37"/>
    <mergeCell ref="E25:G25"/>
    <mergeCell ref="A3:N3"/>
    <mergeCell ref="A13:C13"/>
    <mergeCell ref="A2:N2"/>
    <mergeCell ref="A5:B5"/>
    <mergeCell ref="G5:H5"/>
    <mergeCell ref="A9:C9"/>
    <mergeCell ref="G9:I9"/>
    <mergeCell ref="J8:L8"/>
    <mergeCell ref="G12:I12"/>
    <mergeCell ref="G11:I11"/>
    <mergeCell ref="A11:C11"/>
    <mergeCell ref="J13:L13"/>
    <mergeCell ref="G8:I8"/>
    <mergeCell ref="A43:N43"/>
    <mergeCell ref="J9:L9"/>
    <mergeCell ref="A7:C7"/>
    <mergeCell ref="G7:I7"/>
    <mergeCell ref="I25:K25"/>
  </mergeCells>
  <dataValidations count="1">
    <dataValidation sqref="C5" showDropDown="0" showInputMessage="0" showErrorMessage="0" allowBlank="0" errorTitle="Mes inválido" error="Selecciona un mes de la lista" type="list">
      <formula1>"ENERO,FEBRERO,MARZO,ABRIL,MAYO,JUNIO,JULIO,AGOSTO,SEPTIEMBRE,OCTUBRE,NOVIEMBRE,DICIEMBRE"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42" customWidth="1" min="3" max="3"/>
    <col width="35" customWidth="1" min="4" max="4"/>
    <col width="22" customWidth="1" min="5" max="5"/>
  </cols>
  <sheetData>
    <row r="1" ht="30" customHeight="1">
      <c r="A1" s="202" t="inlineStr">
        <is>
          <t>PROTEG-RT MUTUALIDAD</t>
        </is>
      </c>
    </row>
    <row r="2" ht="22" customHeight="1">
      <c r="A2" s="203" t="inlineStr">
        <is>
          <t>GUÍA DE KPIs — DICCIONARIO DE MÉTRICAS DE COBRANZA</t>
        </is>
      </c>
    </row>
    <row r="3" ht="18" customHeight="1">
      <c r="A3" s="204" t="inlineStr">
        <is>
          <t>AÑO 2026</t>
        </is>
      </c>
    </row>
    <row r="4" ht="8" customHeight="1">
      <c r="A4" s="89" t="n"/>
      <c r="B4" s="89" t="n"/>
      <c r="C4" s="89" t="n"/>
      <c r="D4" s="89" t="n"/>
      <c r="E4" s="89" t="n"/>
    </row>
    <row r="5" ht="40" customHeight="1">
      <c r="A5" s="205" t="inlineStr">
        <is>
          <t>Este documento describe cada KPI del Dashboard y Plantilla de Estadísticas. Sirve como guía para interpretar los datos y entender cómo se calcula cada métrica. Cada KPI corresponde a una sección del reporte mensual de cobranza.</t>
        </is>
      </c>
    </row>
    <row r="7" ht="20" customHeight="1">
      <c r="A7" s="206" t="inlineStr">
        <is>
          <t>MÉTRICA</t>
        </is>
      </c>
      <c r="B7" s="206" t="inlineStr">
        <is>
          <t>TOTAL ($) — ENE 2026</t>
        </is>
      </c>
      <c r="C7" s="206" t="inlineStr">
        <is>
          <t>DESCRIPCIÓN</t>
        </is>
      </c>
      <c r="D7" s="206" t="inlineStr">
        <is>
          <t>¿CÓMO SE INTERPRETA?</t>
        </is>
      </c>
      <c r="E7" s="206" t="inlineStr">
        <is>
          <t>FÓRMULA / FUENTE</t>
        </is>
      </c>
    </row>
    <row r="8" ht="50" customHeight="1">
      <c r="A8" s="207" t="inlineStr">
        <is>
          <t>COBRANZA TOTAL GENERAL</t>
        </is>
      </c>
      <c r="B8" s="208" t="inlineStr">
        <is>
          <t>$1,408,644</t>
        </is>
      </c>
      <c r="C8" s="209" t="inlineStr">
        <is>
          <t>Es el monto total de toda la facturación emitida en el mes. Incluye todos los contratos nuevos y renovaciones generados en el periodo.</t>
        </is>
      </c>
      <c r="D8" s="209" t="inlineStr">
        <is>
          <t>Representa el universo completo de facturación. Es el punto de partida para calcular todos los demás porcentajes de eficiencia.</t>
        </is>
      </c>
      <c r="E8" s="210">
        <f> Suma de TOTAL GENERAL (columna Z/AA del reporte). Se toma sin filtro de STATUS.</f>
        <v/>
      </c>
    </row>
    <row r="9" ht="50" customHeight="1">
      <c r="A9" s="211" t="inlineStr">
        <is>
          <t>COBRANZA RECUPERADA</t>
        </is>
      </c>
      <c r="B9" s="212" t="inlineStr">
        <is>
          <t>$115,277</t>
        </is>
      </c>
      <c r="C9" s="213" t="inlineStr">
        <is>
          <t>Son las cuentas que estavam vencidas (atrasadas de meses anteriores) y que en este mes lograron recuperase mediante pago.</t>
        </is>
      </c>
      <c r="D9" s="213" t="inlineStr">
        <is>
          <t>Un valor alto indica que se está haciendo buen trabajo de cobranza sobre cartera vieja. Meta: maximizar este indicador.</t>
        </is>
      </c>
      <c r="E9" s="214">
        <f> Suma de MONTO (columna AV) en apartado RECUPERADA, sin filtro STATUS. Top 5 agrupa por COBRADO (columna BA).</f>
        <v/>
      </c>
    </row>
    <row r="10" ht="50" customHeight="1">
      <c r="A10" s="207" t="inlineStr">
        <is>
          <t>COBRANZA EFECTIVA</t>
        </is>
      </c>
      <c r="B10" s="208" t="inlineStr">
        <is>
          <t>$1,228,968</t>
        </is>
      </c>
      <c r="C10" s="209" t="inlineStr">
        <is>
          <t>Es el monto cobrado durante el mes que corresponde a ventas del MISMO periodo de facturación (no incluye cartera vencida).</t>
        </is>
      </c>
      <c r="D10" s="209" t="inlineStr">
        <is>
          <t>Es el indicador principal de eficiencia de cobranza. Compara cuánto se cobró vs cuánto se emitió. Meta: &gt;75%.</t>
        </is>
      </c>
      <c r="E10" s="210">
        <f> Suma de MONTO (columna AK) en apartado EFECTIVA, sin filtro STATUS. Top 5 agrupa por COBRADO (columna AP).</f>
        <v/>
      </c>
    </row>
    <row r="11" ht="50" customHeight="1">
      <c r="A11" s="211" t="inlineStr">
        <is>
          <t>CANCELACIONES</t>
        </is>
      </c>
      <c r="B11" s="212" t="inlineStr">
        <is>
          <t>$127,110</t>
        </is>
      </c>
      <c r="C11" s="213" t="inlineStr">
        <is>
          <t>Son las pólizas que fueron canceladas durante el mes, ya sea por falta de pago o por decisión del cliente.</t>
        </is>
      </c>
      <c r="D11" s="213" t="inlineStr">
        <is>
          <t>Un valor alto puede indicar problemas en la calidad de la venta o en la gestión de cobranza preventiva. Revisar causa raíz.</t>
        </is>
      </c>
      <c r="E11" s="214">
        <f> Suma de MONTO en apartado CANCELACIONES, sin filtro STATUS. Top 5 agrupa por VENDEDOR (columna U/V).</f>
        <v/>
      </c>
    </row>
    <row r="12" ht="50" customHeight="1">
      <c r="A12" s="207" t="inlineStr">
        <is>
          <t>COBRANZA VENCIDA</t>
        </is>
      </c>
      <c r="B12" s="208" t="inlineStr">
        <is>
          <t>$166,220</t>
        </is>
      </c>
      <c r="C12" s="209" t="inlineStr">
        <is>
          <t>Son las cuentas que tenían atraso y NO se recuperaron en el mes. Representa la cartera vencida pendiente de cobro.</t>
        </is>
      </c>
      <c r="D12" s="209" t="inlineStr">
        <is>
          <t>Un valor bajo es bueno (significa que se está recuperando la cartera vencida). Un valor alto requiere acción inmediata.</t>
        </is>
      </c>
      <c r="E12" s="210">
        <f> Suma de MONTO en apartado VENCIDA/ATRASADA, sin filtro STATUS. Top 5 agrupa por UBICACIÓN_T (columna V).</f>
        <v/>
      </c>
    </row>
    <row r="13" ht="50" customHeight="1">
      <c r="A13" s="211" t="inlineStr">
        <is>
          <t>COBRANZA CORRIENTE</t>
        </is>
      </c>
      <c r="B13" s="212" t="inlineStr">
        <is>
          <t>$1,608,391</t>
        </is>
      </c>
      <c r="C13" s="213" t="inlineStr">
        <is>
          <t>Es el monto total de la cartera ACTUAL (vence en el mes actual). Es la base de la operación normal de cobranza.</t>
        </is>
      </c>
      <c r="D13" s="213" t="inlineStr">
        <is>
          <t>Es la referencia principal para evaluar el desempeño del equipo. Representa la facturación reciente pendiente de cobro.</t>
        </is>
      </c>
      <c r="E13" s="214">
        <f> Suma de MONTO (columna Z) en apartado CORRIENTE, sin filtro STATUS. Top 5 agrupa por VENDEDOR (columna U).</f>
        <v/>
      </c>
    </row>
    <row r="14" ht="50" customHeight="1">
      <c r="A14" s="207" t="inlineStr">
        <is>
          <t>COBRANZA ANTICIPADA</t>
        </is>
      </c>
      <c r="B14" s="208" t="inlineStr">
        <is>
          <t>$80,464</t>
        </is>
      </c>
      <c r="C14" s="209" t="inlineStr">
        <is>
          <t>Son pagos que el cliente realizó ANTES de la fecha de vencimiento. Indica buen comportamiento de pago.</t>
        </is>
      </c>
      <c r="D14" s="209" t="inlineStr">
        <is>
          <t>Un valor positivo es favorable: significa que hay clientes que pagan antes de tiempo, lo cual mejora el flujo de caja.</t>
        </is>
      </c>
      <c r="E14" s="210">
        <f> Suma de MONTO (columna BG) en apartado ADELANTADA FUTURA, sin filtro STATUS. Top 5 agrupa por COBRADO (columna BL).</f>
        <v/>
      </c>
    </row>
    <row r="15" ht="50" customHeight="1">
      <c r="A15" s="211" t="inlineStr">
        <is>
          <t>PROYECCIÓN (SIG. MES)</t>
        </is>
      </c>
      <c r="B15" s="212" t="inlineStr">
        <is>
          <t>$1,158,184</t>
        </is>
      </c>
      <c r="C15" s="213" t="inlineStr">
        <is>
          <t>Es la estimación de cuánto se cobrará en el MES SIGUIENTE basándose en la tendencia actual de cobranza efectiva.</t>
        </is>
      </c>
      <c r="D15" s="213" t="inlineStr">
        <is>
          <t>Se usa para planeación financiera y de operación. No es un compromiso de cobro, sino una referencia proyectada.</t>
        </is>
      </c>
      <c r="E15" s="214">
        <f> Calculado por el sistema con base en el promedio de cobranza efectiva de los últimos 3 meses.</f>
        <v/>
      </c>
    </row>
    <row r="17" ht="8" customHeight="1">
      <c r="A17" s="89" t="n"/>
      <c r="B17" s="89" t="n"/>
      <c r="C17" s="89" t="n"/>
      <c r="D17" s="89" t="n"/>
      <c r="E17" s="89" t="n"/>
    </row>
    <row r="18" ht="30" customHeight="1">
      <c r="A18" s="215" t="inlineStr">
        <is>
          <t>📌 Nota: Los valores en la columna 'TOTAL ($) — ENE 2026' son ejemplos del mes de referencia (Enero 2026). Al cargar datos de otros meses, los totales se actualizan automáticamente en la Plantilla Principal.</t>
        </is>
      </c>
    </row>
    <row r="20" ht="16" customHeight="1">
      <c r="A20" s="216" t="inlineStr">
        <is>
          <t>PROTEG-RT MUTUALIDAD  |  Gerencia de Cobranza  |  Guía de KPIs — Luna Dashboard</t>
        </is>
      </c>
    </row>
  </sheetData>
  <mergeCells count="6">
    <mergeCell ref="A20:E20"/>
    <mergeCell ref="A2:E2"/>
    <mergeCell ref="A5:E5"/>
    <mergeCell ref="A1:E1"/>
    <mergeCell ref="A18:E18"/>
    <mergeCell ref="A3:E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914"/>
  <sheetViews>
    <sheetView workbookViewId="0">
      <pane ySplit="6" topLeftCell="A7" activePane="bottomLeft" state="frozen"/>
      <selection pane="bottomLeft" activeCell="A1" sqref="A1"/>
      <selection pane="bottomLeft" activeCell="A1" sqref="A1"/>
      <selection pane="bottomRigh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3" customWidth="1" min="13" max="13"/>
    <col width="13" customWidth="1" min="14" max="14"/>
  </cols>
  <sheetData>
    <row r="1" ht="18" customHeight="1">
      <c r="A1" s="1" t="inlineStr">
        <is>
          <t>PROTEG-RT MUTUALIDAD</t>
        </is>
      </c>
    </row>
    <row r="2" ht="24" customHeight="1">
      <c r="A2" s="277" t="inlineStr">
        <is>
          <t>REPORTE DE COBRANZA — JUNTA MENSUAL</t>
        </is>
      </c>
    </row>
    <row r="3" ht="18" customHeight="1">
      <c r="A3" s="3" t="inlineStr">
        <is>
          <t>AÑO 2026</t>
        </is>
      </c>
    </row>
    <row r="4" ht="18" customHeight="1"/>
    <row r="5" ht="18" customHeight="1">
      <c r="A5" s="4" t="inlineStr">
        <is>
          <t>ENERO 2026</t>
        </is>
      </c>
    </row>
    <row r="6" ht="18" customHeight="1">
      <c r="A6" s="34" t="inlineStr">
        <is>
          <t>CONCEPTO</t>
        </is>
      </c>
      <c r="B6" s="34" t="inlineStr">
        <is>
          <t>TOTAL ($)</t>
        </is>
      </c>
      <c r="C6" s="34" t="inlineStr">
        <is>
          <t>VENDEDOR / COBRADOR</t>
        </is>
      </c>
      <c r="D6" s="34" t="inlineStr">
        <is>
          <t>MONTO</t>
        </is>
      </c>
      <c r="E6" s="34" t="inlineStr">
        <is>
          <t>VENDEDOR / COBRADOR</t>
        </is>
      </c>
      <c r="F6" s="34" t="inlineStr">
        <is>
          <t>MONTO</t>
        </is>
      </c>
      <c r="G6" s="34" t="inlineStr">
        <is>
          <t>VENDEDOR / COBRADOR</t>
        </is>
      </c>
      <c r="H6" s="34" t="inlineStr">
        <is>
          <t>MONTO</t>
        </is>
      </c>
      <c r="I6" s="34" t="inlineStr">
        <is>
          <t>VENDEDOR / COBRADOR</t>
        </is>
      </c>
      <c r="J6" s="34" t="inlineStr">
        <is>
          <t>MONTO</t>
        </is>
      </c>
      <c r="K6" s="34" t="inlineStr">
        <is>
          <t>VENDEDOR / COBRADOR</t>
        </is>
      </c>
      <c r="L6" s="34" t="inlineStr">
        <is>
          <t>MONTO</t>
        </is>
      </c>
      <c r="M6" s="34" t="inlineStr">
        <is>
          <t>% ACUM.</t>
        </is>
      </c>
      <c r="N6" s="34" t="inlineStr">
        <is>
          <t>% ACUM. MENSUAL</t>
        </is>
      </c>
    </row>
    <row r="7" ht="18" customHeight="1">
      <c r="A7" s="35" t="inlineStr">
        <is>
          <t>DATOS GENERALES</t>
        </is>
      </c>
    </row>
    <row r="8" ht="18" customHeight="1">
      <c r="A8" s="8" t="inlineStr">
        <is>
          <t>Mes</t>
        </is>
      </c>
      <c r="B8" s="9" t="inlineStr">
        <is>
          <t>ENERO</t>
        </is>
      </c>
      <c r="E8" s="8" t="inlineStr">
        <is>
          <t>Año</t>
        </is>
      </c>
      <c r="F8" s="9" t="n">
        <v>2026</v>
      </c>
    </row>
    <row r="9" ht="18" customHeight="1">
      <c r="A9" s="8" t="inlineStr">
        <is>
          <t>Fecha de corte</t>
        </is>
      </c>
      <c r="B9" s="10" t="n"/>
      <c r="E9" s="8" t="inlineStr">
        <is>
          <t>Elaboró</t>
        </is>
      </c>
      <c r="F9" s="10" t="n"/>
    </row>
    <row r="10" ht="18" customHeight="1">
      <c r="A10" s="36" t="inlineStr">
        <is>
          <t>COBRANZA CORRIENTE</t>
        </is>
      </c>
      <c r="B10" s="37" t="n"/>
      <c r="C10" s="38" t="n"/>
      <c r="D10" s="38" t="n"/>
      <c r="E10" s="39" t="n"/>
      <c r="F10" s="37" t="n"/>
      <c r="G10" s="38" t="n"/>
      <c r="H10" s="38" t="n"/>
      <c r="I10" s="38" t="n"/>
      <c r="J10" s="38" t="n"/>
      <c r="K10" s="38" t="n"/>
      <c r="L10" s="38" t="n"/>
      <c r="M10" s="38" t="n"/>
      <c r="N10" s="38" t="n"/>
    </row>
    <row r="11" ht="18" customHeight="1">
      <c r="A11" s="40" t="inlineStr">
        <is>
          <t>Total</t>
        </is>
      </c>
      <c r="B11" s="260" t="n">
        <v>1608391</v>
      </c>
      <c r="C11" s="38" t="n"/>
      <c r="D11" s="38" t="n"/>
      <c r="E11" s="38" t="n"/>
      <c r="F11" s="38" t="n"/>
      <c r="G11" s="38" t="n"/>
      <c r="H11" s="38" t="n"/>
      <c r="I11" s="38" t="n"/>
      <c r="J11" s="38" t="n"/>
      <c r="K11" s="38" t="n"/>
      <c r="L11" s="38" t="n"/>
      <c r="M11" s="38" t="n"/>
      <c r="N11" s="38" t="n"/>
    </row>
    <row r="12" ht="18" customHeight="1">
      <c r="A12" s="42" t="n"/>
      <c r="B12" s="43" t="inlineStr">
        <is>
          <t>Top 5</t>
        </is>
      </c>
      <c r="C12" s="38" t="n"/>
      <c r="D12" s="38" t="n"/>
      <c r="E12" s="38" t="n"/>
      <c r="F12" s="38" t="n"/>
      <c r="G12" s="38" t="n"/>
      <c r="H12" s="38" t="n"/>
      <c r="I12" s="38" t="n"/>
      <c r="J12" s="38" t="n"/>
      <c r="K12" s="38" t="n"/>
      <c r="L12" s="38" t="n"/>
      <c r="M12" s="38" t="n"/>
      <c r="N12" s="38" t="n"/>
    </row>
    <row r="13" ht="18" customHeight="1">
      <c r="A13" s="240" t="n"/>
      <c r="B13" s="45" t="n"/>
      <c r="C13" s="45" t="inlineStr">
        <is>
          <t>V1</t>
        </is>
      </c>
      <c r="D13" s="45" t="n"/>
      <c r="E13" s="45" t="n"/>
      <c r="F13" s="45" t="n"/>
      <c r="G13" s="45" t="n"/>
      <c r="H13" s="46" t="n"/>
      <c r="I13" s="83" t="n"/>
      <c r="J13" s="83" t="n"/>
      <c r="K13" s="83" t="n"/>
      <c r="L13" s="83" t="n"/>
      <c r="M13" s="83" t="n"/>
      <c r="N13" s="83" t="n"/>
      <c r="O13" s="70" t="n"/>
      <c r="P13" s="70" t="n"/>
    </row>
    <row r="14" ht="18" customHeight="1">
      <c r="A14" s="241" t="n"/>
      <c r="B14" s="241" t="n"/>
      <c r="C14" s="242" t="n"/>
      <c r="D14" s="241" t="inlineStr">
        <is>
          <t>V6</t>
        </is>
      </c>
      <c r="E14" s="242" t="n"/>
      <c r="F14" s="241" t="n"/>
      <c r="G14" s="242" t="n"/>
      <c r="H14" s="242" t="n"/>
      <c r="I14" s="242" t="n"/>
      <c r="J14" s="242" t="n"/>
      <c r="K14" s="242" t="n"/>
      <c r="L14" s="242" t="n"/>
      <c r="M14" s="242" t="n"/>
      <c r="N14" s="242" t="n"/>
      <c r="O14" s="70" t="n"/>
      <c r="P14" s="70" t="n"/>
    </row>
    <row r="15" ht="18" customHeight="1">
      <c r="A15" s="124" t="n"/>
      <c r="B15" s="125" t="n"/>
      <c r="C15" s="242" t="n"/>
      <c r="D15" s="243" t="n"/>
      <c r="E15" s="242" t="inlineStr">
        <is>
          <t>V38</t>
        </is>
      </c>
      <c r="F15" s="244" t="n"/>
      <c r="G15" s="242" t="n"/>
      <c r="H15" s="242" t="n"/>
      <c r="I15" s="242" t="n"/>
      <c r="J15" s="242" t="n"/>
      <c r="K15" s="242" t="n"/>
      <c r="L15" s="242" t="n"/>
      <c r="M15" s="245" t="n"/>
      <c r="N15" s="245" t="n"/>
      <c r="O15" s="70" t="n"/>
      <c r="P15" s="70" t="n"/>
    </row>
    <row r="16" ht="18" customHeight="1">
      <c r="A16" s="124" t="n"/>
      <c r="B16" s="125" t="n"/>
      <c r="C16" s="242" t="n"/>
      <c r="D16" s="246" t="n"/>
      <c r="E16" s="242" t="n"/>
      <c r="F16" s="247" t="inlineStr">
        <is>
          <t>V39</t>
        </is>
      </c>
      <c r="G16" s="242" t="n"/>
      <c r="H16" s="242" t="n"/>
      <c r="I16" s="242" t="n"/>
      <c r="J16" s="242" t="n"/>
      <c r="K16" s="242" t="n"/>
      <c r="L16" s="242" t="n"/>
      <c r="M16" s="245" t="n"/>
      <c r="N16" s="245" t="n"/>
      <c r="O16" s="70" t="n"/>
      <c r="P16" s="70" t="n"/>
    </row>
    <row r="17" ht="18" customHeight="1">
      <c r="A17" s="124" t="n"/>
      <c r="B17" s="125" t="n"/>
      <c r="C17" s="242" t="n"/>
      <c r="D17" s="248" t="n"/>
      <c r="E17" s="242" t="n"/>
      <c r="F17" s="249" t="n"/>
      <c r="G17" s="242" t="inlineStr">
        <is>
          <t>V27</t>
        </is>
      </c>
      <c r="H17" s="250" t="n"/>
      <c r="I17" s="242" t="n"/>
      <c r="J17" s="242" t="n"/>
      <c r="K17" s="242" t="n"/>
      <c r="L17" s="242" t="n"/>
      <c r="M17" s="245" t="n"/>
      <c r="N17" s="245" t="n"/>
      <c r="O17" s="70" t="n"/>
      <c r="P17" s="70" t="n"/>
    </row>
    <row r="18" ht="18" customHeight="1">
      <c r="A18" s="124" t="n"/>
      <c r="B18" s="125" t="n"/>
      <c r="C18" s="242" t="n"/>
      <c r="D18" s="251" t="n"/>
      <c r="E18" s="242" t="n"/>
      <c r="F18" s="252" t="n"/>
      <c r="G18" s="242" t="n"/>
      <c r="H18" s="242" t="n"/>
      <c r="I18" s="242" t="n"/>
      <c r="J18" s="250" t="n"/>
      <c r="K18" s="242" t="n"/>
      <c r="L18" s="242" t="n"/>
      <c r="M18" s="245" t="n"/>
      <c r="N18" s="245" t="n"/>
      <c r="O18" s="70" t="n"/>
      <c r="P18" s="70" t="n"/>
    </row>
    <row r="19" ht="18" customHeight="1">
      <c r="A19" s="124" t="n"/>
      <c r="B19" s="125" t="n"/>
      <c r="C19" s="242" t="n"/>
      <c r="D19" s="253" t="n"/>
      <c r="E19" s="242" t="n"/>
      <c r="F19" s="254" t="n"/>
      <c r="G19" s="45" t="n"/>
      <c r="H19" s="46" t="n"/>
      <c r="I19" s="242" t="n"/>
      <c r="J19" s="242" t="n"/>
      <c r="K19" s="242" t="n"/>
      <c r="L19" s="250" t="n"/>
      <c r="M19" s="245" t="n"/>
      <c r="N19" s="245" t="n"/>
      <c r="O19" s="70" t="n"/>
      <c r="P19" s="70" t="n"/>
    </row>
    <row r="20" ht="18" customHeight="1">
      <c r="A20" s="255" t="n"/>
      <c r="B20" s="256" t="n">
        <v>127110</v>
      </c>
      <c r="C20" s="257" t="n"/>
      <c r="D20" s="258" t="n"/>
      <c r="E20" s="257" t="n"/>
      <c r="F20" s="259" t="n"/>
      <c r="G20" s="257" t="n"/>
      <c r="H20" s="257" t="n"/>
      <c r="I20" s="257" t="n"/>
      <c r="J20" s="257" t="n"/>
      <c r="K20" s="257" t="n"/>
      <c r="L20" s="257" t="n"/>
      <c r="M20" s="257" t="n"/>
      <c r="N20" s="257" t="n"/>
      <c r="O20" s="70" t="n"/>
      <c r="P20" s="70" t="n"/>
    </row>
    <row r="21" ht="18" customHeight="1">
      <c r="A21" s="84" t="inlineStr">
        <is>
          <t>Top 5</t>
        </is>
      </c>
      <c r="B21" s="160" t="n"/>
      <c r="C21" s="160" t="n"/>
      <c r="D21" s="160" t="n"/>
      <c r="E21" s="160" t="n"/>
      <c r="F21" s="160" t="n"/>
      <c r="G21" s="160" t="n"/>
      <c r="H21" s="160" t="n"/>
      <c r="I21" s="160" t="n"/>
      <c r="J21" s="160" t="n"/>
      <c r="K21" s="160" t="n"/>
      <c r="L21" s="160" t="n"/>
      <c r="M21" s="160" t="n"/>
      <c r="N21" s="161" t="n"/>
    </row>
    <row r="22" ht="18" customHeight="1">
      <c r="A22" s="72" t="inlineStr">
        <is>
          <t>1er lugar</t>
        </is>
      </c>
      <c r="B22" s="73" t="n"/>
      <c r="C22" s="74" t="inlineStr">
        <is>
          <t>V1</t>
        </is>
      </c>
      <c r="D22" s="75" t="n">
        <v>356324</v>
      </c>
      <c r="E22" s="38" t="n"/>
      <c r="F22" s="38" t="n"/>
      <c r="G22" s="38" t="n"/>
      <c r="H22" s="38" t="n"/>
      <c r="I22" s="38" t="n"/>
      <c r="J22" s="38" t="n"/>
      <c r="K22" s="38" t="n"/>
      <c r="L22" s="38" t="n"/>
      <c r="M22" s="76" t="n">
        <v>0.2215</v>
      </c>
      <c r="N22" s="77" t="n">
        <v>0.2215</v>
      </c>
    </row>
    <row r="23" ht="18" customHeight="1">
      <c r="A23" s="40" t="inlineStr">
        <is>
          <t>2o lugar</t>
        </is>
      </c>
      <c r="B23" s="46" t="n"/>
      <c r="C23" s="48" t="n"/>
      <c r="D23" s="48" t="inlineStr">
        <is>
          <t>V38</t>
        </is>
      </c>
      <c r="E23" s="78" t="inlineStr">
        <is>
          <t>V1</t>
        </is>
      </c>
      <c r="F23" s="79" t="n">
        <v>297307</v>
      </c>
      <c r="G23" s="48" t="n"/>
      <c r="H23" s="48" t="n"/>
      <c r="I23" s="48" t="n"/>
      <c r="J23" s="48" t="n"/>
      <c r="K23" s="48" t="n"/>
      <c r="L23" s="48" t="n"/>
      <c r="M23" s="80" t="n">
        <v>0.1848</v>
      </c>
      <c r="N23" s="81" t="n">
        <v>0.4064</v>
      </c>
    </row>
    <row r="24" ht="18" customHeight="1">
      <c r="A24" s="72" t="inlineStr">
        <is>
          <t>3er lugar</t>
        </is>
      </c>
      <c r="B24" s="48" t="n"/>
      <c r="C24" s="48" t="n"/>
      <c r="D24" s="62" t="n"/>
      <c r="E24" s="48" t="inlineStr">
        <is>
          <t>V6</t>
        </is>
      </c>
      <c r="F24" s="48" t="n"/>
      <c r="G24" s="74" t="inlineStr">
        <is>
          <t>V38</t>
        </is>
      </c>
      <c r="H24" s="75" t="n">
        <v>241116</v>
      </c>
      <c r="I24" s="48" t="n"/>
      <c r="J24" s="48" t="n"/>
      <c r="K24" s="48" t="n"/>
      <c r="L24" s="48" t="n"/>
      <c r="M24" s="76" t="n">
        <v>0.1499</v>
      </c>
      <c r="N24" s="77" t="n">
        <v>0.5563</v>
      </c>
    </row>
    <row r="25" ht="18" customHeight="1">
      <c r="A25" s="40" t="inlineStr">
        <is>
          <t>4o lugar</t>
        </is>
      </c>
      <c r="B25" s="48" t="n"/>
      <c r="C25" s="48" t="n"/>
      <c r="D25" s="48" t="n"/>
      <c r="E25" s="48" t="n"/>
      <c r="F25" s="62" t="inlineStr">
        <is>
          <t>V56</t>
        </is>
      </c>
      <c r="G25" s="48" t="n"/>
      <c r="H25" s="48" t="n"/>
      <c r="I25" s="78" t="inlineStr">
        <is>
          <t>V39</t>
        </is>
      </c>
      <c r="J25" s="79" t="n">
        <v>176093</v>
      </c>
      <c r="K25" s="48" t="n"/>
      <c r="L25" s="48" t="n"/>
      <c r="M25" s="80" t="n">
        <v>0.1095</v>
      </c>
      <c r="N25" s="81" t="n">
        <v>0.6657999999999999</v>
      </c>
    </row>
    <row r="26" ht="18" customHeight="1">
      <c r="A26" s="72" t="inlineStr">
        <is>
          <t>5o lugar</t>
        </is>
      </c>
      <c r="B26" s="48" t="n"/>
      <c r="C26" s="48" t="n"/>
      <c r="D26" s="48" t="n"/>
      <c r="E26" s="48" t="n"/>
      <c r="F26" s="48" t="n"/>
      <c r="G26" s="48" t="inlineStr">
        <is>
          <t>V84</t>
        </is>
      </c>
      <c r="H26" s="62" t="n"/>
      <c r="I26" s="48" t="n"/>
      <c r="J26" s="48" t="n"/>
      <c r="K26" s="74" t="inlineStr">
        <is>
          <t>V56</t>
        </is>
      </c>
      <c r="L26" s="75" t="n">
        <v>130775</v>
      </c>
      <c r="M26" s="76" t="n">
        <v>0.0813</v>
      </c>
      <c r="N26" s="77" t="n">
        <v>0.7471</v>
      </c>
    </row>
    <row r="27" ht="18" customHeight="1">
      <c r="A27" s="85" t="n"/>
      <c r="B27" s="48" t="n"/>
      <c r="C27" s="48" t="n"/>
      <c r="D27" s="48" t="n"/>
      <c r="E27" s="48" t="n"/>
      <c r="F27" s="48" t="n"/>
      <c r="G27" s="48" t="n"/>
      <c r="H27" s="48" t="n"/>
      <c r="I27" s="48" t="n"/>
      <c r="J27" s="62" t="n"/>
      <c r="K27" s="48" t="n"/>
      <c r="L27" s="48" t="n"/>
      <c r="M27" s="53" t="n"/>
      <c r="N27" s="53" t="n"/>
    </row>
    <row r="28" ht="18" customHeight="1">
      <c r="A28" s="85" t="n"/>
      <c r="B28" s="48" t="n"/>
      <c r="C28" s="48" t="n"/>
      <c r="D28" s="48" t="n"/>
      <c r="E28" s="48" t="n"/>
      <c r="F28" s="48" t="n"/>
      <c r="G28" s="48" t="n"/>
      <c r="H28" s="48" t="n"/>
      <c r="I28" s="48" t="n"/>
      <c r="J28" s="48" t="n"/>
      <c r="K28" s="48" t="n"/>
      <c r="L28" s="62" t="n"/>
      <c r="M28" s="53" t="n"/>
      <c r="N28" s="53" t="n"/>
    </row>
    <row r="29" ht="18" customHeight="1">
      <c r="A29" s="38" t="n"/>
      <c r="B29" s="38" t="n"/>
      <c r="C29" s="38" t="n"/>
      <c r="D29" s="38" t="n"/>
      <c r="E29" s="38" t="n"/>
      <c r="F29" s="38" t="n"/>
      <c r="G29" s="38" t="n"/>
      <c r="H29" s="38" t="n"/>
      <c r="I29" s="38" t="n"/>
      <c r="J29" s="38" t="n"/>
      <c r="K29" s="38" t="n"/>
      <c r="L29" s="38" t="n"/>
      <c r="M29" s="38" t="n"/>
      <c r="N29" s="38" t="n"/>
    </row>
    <row r="30" ht="18" customHeight="1">
      <c r="A30" s="42" t="n"/>
      <c r="B30" s="45" t="n"/>
      <c r="C30" s="45" t="n"/>
      <c r="D30" s="45" t="n"/>
      <c r="E30" s="45" t="n"/>
      <c r="F30" s="45" t="n"/>
      <c r="G30" s="45" t="n"/>
      <c r="H30" s="45" t="n"/>
      <c r="I30" s="45" t="n"/>
      <c r="J30" s="45" t="n"/>
      <c r="K30" s="45" t="n"/>
      <c r="L30" s="45" t="n"/>
      <c r="M30" s="45" t="n"/>
      <c r="N30" s="46" t="n"/>
    </row>
    <row r="31" ht="18" customHeight="1">
      <c r="A31" s="8" t="inlineStr">
        <is>
          <t>Total</t>
        </is>
      </c>
      <c r="B31" s="261" t="n">
        <v>166220</v>
      </c>
    </row>
    <row r="32" ht="18" customHeight="1">
      <c r="A32" s="12" t="inlineStr">
        <is>
          <t>Top 5</t>
        </is>
      </c>
      <c r="C32" s="13" t="n"/>
      <c r="D32" s="13" t="n"/>
      <c r="E32" s="13" t="n"/>
      <c r="F32" s="13" t="n"/>
      <c r="G32" s="13" t="n"/>
      <c r="H32" s="13" t="n"/>
      <c r="I32" s="13" t="n"/>
      <c r="J32" s="13" t="n"/>
      <c r="K32" s="13" t="n"/>
      <c r="L32" s="13" t="n"/>
      <c r="M32" s="13" t="n"/>
      <c r="N32" s="13" t="n"/>
    </row>
    <row r="33" ht="18" customHeight="1">
      <c r="A33" s="14" t="inlineStr">
        <is>
          <t>1er lugar</t>
        </is>
      </c>
      <c r="B33" s="15" t="n"/>
      <c r="C33" s="15" t="inlineStr">
        <is>
          <t>V39</t>
        </is>
      </c>
      <c r="D33" s="30" t="n">
        <v>32232</v>
      </c>
      <c r="E33" s="15" t="n"/>
      <c r="F33" s="15" t="n"/>
      <c r="G33" s="15" t="n"/>
      <c r="H33" s="15" t="n"/>
      <c r="I33" s="15" t="n"/>
      <c r="J33" s="15" t="n"/>
      <c r="K33" s="15" t="n"/>
      <c r="L33" s="15" t="n"/>
      <c r="M33" s="31" t="n">
        <v>0.1939116833112742</v>
      </c>
      <c r="N33" s="31" t="n">
        <v>0.1939116833112742</v>
      </c>
    </row>
    <row r="34" ht="18" customHeight="1">
      <c r="A34" s="14" t="inlineStr">
        <is>
          <t>2o lugar</t>
        </is>
      </c>
      <c r="B34" s="15" t="n"/>
      <c r="C34" s="15" t="n"/>
      <c r="D34" s="15" t="inlineStr">
        <is>
          <t>EDGAR</t>
        </is>
      </c>
      <c r="E34" s="15" t="inlineStr">
        <is>
          <t>FRANCISCO</t>
        </is>
      </c>
      <c r="F34" s="30" t="n">
        <v>24988</v>
      </c>
      <c r="G34" s="15" t="n"/>
      <c r="H34" s="15" t="n"/>
      <c r="I34" s="15" t="n"/>
      <c r="J34" s="15" t="n"/>
      <c r="K34" s="15" t="n"/>
      <c r="L34" s="15" t="n"/>
      <c r="M34" s="31" t="n">
        <v>0.1503308867765612</v>
      </c>
      <c r="N34" s="31" t="n">
        <v>0.3442425700878354</v>
      </c>
    </row>
    <row r="35" ht="18" customHeight="1">
      <c r="A35" s="14" t="inlineStr">
        <is>
          <t>3er lugar</t>
        </is>
      </c>
      <c r="B35" s="15" t="n"/>
      <c r="C35" s="15" t="n"/>
      <c r="D35" s="15" t="n"/>
      <c r="E35" s="15" t="inlineStr">
        <is>
          <t>DEPOSITO</t>
        </is>
      </c>
      <c r="F35" s="15" t="n"/>
      <c r="G35" s="15" t="inlineStr">
        <is>
          <t>JORGE</t>
        </is>
      </c>
      <c r="H35" s="30" t="n">
        <v>23648</v>
      </c>
      <c r="I35" s="15" t="n"/>
      <c r="J35" s="15" t="n"/>
      <c r="K35" s="15" t="n"/>
      <c r="L35" s="15" t="n"/>
      <c r="M35" s="31" t="n">
        <v>0.1422692816748887</v>
      </c>
      <c r="N35" s="31" t="n">
        <v>0.4865118517627241</v>
      </c>
    </row>
    <row r="36" ht="18" customHeight="1">
      <c r="A36" s="14" t="inlineStr">
        <is>
          <t>4o lugar</t>
        </is>
      </c>
      <c r="B36" s="15" t="n"/>
      <c r="C36" s="15" t="n"/>
      <c r="D36" s="15" t="n"/>
      <c r="E36" s="15" t="n"/>
      <c r="F36" s="15" t="inlineStr">
        <is>
          <t>JORGE</t>
        </is>
      </c>
      <c r="G36" s="15" t="n"/>
      <c r="H36" s="15" t="n"/>
      <c r="I36" s="15" t="inlineStr">
        <is>
          <t>DEPOSITO</t>
        </is>
      </c>
      <c r="J36" s="30" t="n">
        <v>19599</v>
      </c>
      <c r="K36" s="15" t="n"/>
      <c r="L36" s="15" t="n"/>
      <c r="M36" s="31" t="n">
        <v>0.1179099987967754</v>
      </c>
      <c r="N36" s="31" t="n">
        <v>0.6044218505594995</v>
      </c>
    </row>
    <row r="37" ht="18" customHeight="1">
      <c r="A37" s="14" t="inlineStr">
        <is>
          <t>5o lugar</t>
        </is>
      </c>
      <c r="B37" s="15" t="n"/>
      <c r="C37" s="15" t="n"/>
      <c r="D37" s="15" t="n"/>
      <c r="E37" s="15" t="n"/>
      <c r="F37" s="15" t="n"/>
      <c r="G37" s="15" t="inlineStr">
        <is>
          <t>FRANCISCO</t>
        </is>
      </c>
      <c r="H37" s="15" t="n"/>
      <c r="I37" s="15" t="n"/>
      <c r="J37" s="15" t="n"/>
      <c r="K37" s="15" t="inlineStr">
        <is>
          <t>EDGAR</t>
        </is>
      </c>
      <c r="L37" s="30" t="n">
        <v>16160</v>
      </c>
      <c r="M37" s="31" t="n">
        <v>0.09722055107688606</v>
      </c>
      <c r="N37" s="31" t="n">
        <v>0.7016424016363855</v>
      </c>
    </row>
    <row r="38" ht="18" customHeight="1"/>
    <row r="39" ht="18" customHeight="1">
      <c r="A39" s="35" t="inlineStr">
        <is>
          <t>COBRANZA EFECTIVA</t>
        </is>
      </c>
      <c r="B39" s="28" t="n"/>
      <c r="C39" s="28" t="n"/>
      <c r="D39" s="28" t="n"/>
      <c r="E39" s="28" t="n"/>
      <c r="F39" s="28" t="n"/>
      <c r="G39" s="28" t="n"/>
      <c r="H39" s="28" t="n"/>
      <c r="I39" s="28" t="n"/>
      <c r="J39" s="28" t="n"/>
      <c r="K39" s="28" t="n"/>
      <c r="L39" s="28" t="n"/>
      <c r="M39" s="28" t="n"/>
      <c r="N39" s="28" t="n"/>
    </row>
    <row r="40" ht="18" customHeight="1">
      <c r="A40" s="16" t="inlineStr">
        <is>
          <t>Total</t>
        </is>
      </c>
      <c r="B40" s="262" t="n">
        <v>1228968</v>
      </c>
    </row>
    <row r="41" ht="18" customHeight="1">
      <c r="A41" s="12" t="inlineStr">
        <is>
          <t>Top 5</t>
        </is>
      </c>
      <c r="C41" s="13" t="n"/>
      <c r="D41" s="13" t="n"/>
      <c r="E41" s="13" t="n"/>
      <c r="F41" s="13" t="n"/>
      <c r="G41" s="13" t="n"/>
      <c r="H41" s="13" t="n"/>
      <c r="I41" s="13" t="n"/>
      <c r="J41" s="13" t="n"/>
      <c r="K41" s="13" t="n"/>
      <c r="L41" s="13" t="n"/>
      <c r="M41" s="13" t="n"/>
      <c r="N41" s="13" t="n"/>
    </row>
    <row r="42" ht="18" customHeight="1">
      <c r="A42" s="14" t="inlineStr">
        <is>
          <t>1er lugar</t>
        </is>
      </c>
      <c r="B42" s="15" t="n"/>
      <c r="C42" s="15" t="inlineStr">
        <is>
          <t>EDGAR</t>
        </is>
      </c>
      <c r="D42" s="30" t="n">
        <v>212099</v>
      </c>
      <c r="E42" s="15" t="n"/>
      <c r="F42" s="15" t="n"/>
      <c r="G42" s="15" t="n"/>
      <c r="H42" s="15" t="n"/>
      <c r="I42" s="15" t="n"/>
      <c r="J42" s="15" t="n"/>
      <c r="K42" s="15" t="n"/>
      <c r="L42" s="15" t="n"/>
      <c r="M42" s="31" t="n">
        <v>0.1725830127391437</v>
      </c>
      <c r="N42" s="31" t="n">
        <v>0.1725830127391437</v>
      </c>
    </row>
    <row r="43" ht="18" customHeight="1">
      <c r="A43" s="14" t="inlineStr">
        <is>
          <t>2o lugar</t>
        </is>
      </c>
      <c r="B43" s="15" t="n"/>
      <c r="C43" s="15" t="n"/>
      <c r="D43" s="15" t="inlineStr">
        <is>
          <t>DEPOSITO</t>
        </is>
      </c>
      <c r="E43" s="15" t="inlineStr">
        <is>
          <t>V6</t>
        </is>
      </c>
      <c r="F43" s="30" t="n">
        <v>142162</v>
      </c>
      <c r="G43" s="15" t="n"/>
      <c r="H43" s="15" t="n"/>
      <c r="I43" s="15" t="n"/>
      <c r="J43" s="15" t="n"/>
      <c r="K43" s="15" t="n"/>
      <c r="L43" s="15" t="n"/>
      <c r="M43" s="31" t="n">
        <v>0.1156759167040965</v>
      </c>
      <c r="N43" s="31" t="n">
        <v>0.2882589294432402</v>
      </c>
    </row>
    <row r="44" ht="18" customHeight="1">
      <c r="A44" s="14" t="inlineStr">
        <is>
          <t>3er lugar</t>
        </is>
      </c>
      <c r="B44" s="15" t="n"/>
      <c r="C44" s="15" t="n"/>
      <c r="D44" s="15" t="n"/>
      <c r="E44" s="15" t="inlineStr">
        <is>
          <t>V1</t>
        </is>
      </c>
      <c r="F44" s="15" t="n"/>
      <c r="G44" s="15" t="inlineStr">
        <is>
          <t>JORGE</t>
        </is>
      </c>
      <c r="H44" s="30" t="n">
        <v>138268</v>
      </c>
      <c r="I44" s="15" t="n"/>
      <c r="J44" s="15" t="n"/>
      <c r="K44" s="15" t="n"/>
      <c r="L44" s="15" t="n"/>
      <c r="M44" s="31" t="n">
        <v>0.1125074045866125</v>
      </c>
      <c r="N44" s="31" t="n">
        <v>0.4007663340298527</v>
      </c>
    </row>
    <row r="45" ht="18" customHeight="1">
      <c r="A45" s="14" t="inlineStr">
        <is>
          <t>4o lugar</t>
        </is>
      </c>
      <c r="B45" s="15" t="n"/>
      <c r="C45" s="15" t="n"/>
      <c r="D45" s="15" t="n"/>
      <c r="E45" s="15" t="n"/>
      <c r="F45" s="15" t="inlineStr">
        <is>
          <t>JORGE</t>
        </is>
      </c>
      <c r="G45" s="15" t="n"/>
      <c r="H45" s="15" t="n"/>
      <c r="I45" s="15" t="inlineStr">
        <is>
          <t>DEPOSITO</t>
        </is>
      </c>
      <c r="J45" s="30" t="n">
        <v>122198</v>
      </c>
      <c r="K45" s="15" t="n"/>
      <c r="L45" s="15" t="n"/>
      <c r="M45" s="31" t="n">
        <v>0.09943139284342635</v>
      </c>
      <c r="N45" s="31" t="n">
        <v>0.500197726873279</v>
      </c>
    </row>
    <row r="46" ht="18" customHeight="1">
      <c r="A46" s="14" t="inlineStr">
        <is>
          <t>5o lugar</t>
        </is>
      </c>
      <c r="B46" s="15" t="n"/>
      <c r="C46" s="15" t="n"/>
      <c r="D46" s="15" t="n"/>
      <c r="E46" s="15" t="n"/>
      <c r="F46" s="15" t="n"/>
      <c r="G46" s="15" t="inlineStr">
        <is>
          <t>FRANCISCO</t>
        </is>
      </c>
      <c r="H46" s="15" t="n"/>
      <c r="I46" s="15" t="n"/>
      <c r="J46" s="15" t="n"/>
      <c r="K46" s="15" t="inlineStr">
        <is>
          <t>FRANCISCO</t>
        </is>
      </c>
      <c r="L46" s="30" t="n">
        <v>117694</v>
      </c>
      <c r="M46" s="31" t="n">
        <v>0.09576652931565346</v>
      </c>
      <c r="N46" s="31" t="n">
        <v>0.5959642561889325</v>
      </c>
    </row>
    <row r="47" ht="18" customHeight="1"/>
    <row r="48" ht="18" customHeight="1">
      <c r="A48" s="35" t="inlineStr">
        <is>
          <t>COBRANZA RECUPERADA</t>
        </is>
      </c>
      <c r="B48" s="28" t="n"/>
      <c r="C48" s="28" t="n"/>
      <c r="D48" s="28" t="n"/>
      <c r="E48" s="28" t="n"/>
      <c r="F48" s="28" t="n"/>
      <c r="G48" s="28" t="n"/>
      <c r="H48" s="28" t="n"/>
      <c r="I48" s="28" t="n"/>
      <c r="J48" s="28" t="n"/>
      <c r="K48" s="28" t="n"/>
      <c r="L48" s="28" t="n"/>
      <c r="M48" s="28" t="n"/>
      <c r="N48" s="28" t="n"/>
    </row>
    <row r="49" ht="18" customHeight="1">
      <c r="A49" s="8" t="inlineStr">
        <is>
          <t>Total</t>
        </is>
      </c>
      <c r="B49" s="261" t="n">
        <v>115277</v>
      </c>
    </row>
    <row r="50" ht="18" customHeight="1">
      <c r="A50" s="12" t="inlineStr">
        <is>
          <t>Top 5</t>
        </is>
      </c>
      <c r="C50" s="13" t="n"/>
      <c r="D50" s="13" t="n"/>
      <c r="E50" s="13" t="n"/>
      <c r="F50" s="13" t="n"/>
      <c r="G50" s="13" t="n"/>
      <c r="H50" s="13" t="n"/>
      <c r="I50" s="13" t="n"/>
      <c r="J50" s="13" t="n"/>
      <c r="K50" s="13" t="n"/>
      <c r="L50" s="13" t="n"/>
      <c r="M50" s="13" t="n"/>
      <c r="N50" s="13" t="n"/>
    </row>
    <row r="51" ht="18" customHeight="1">
      <c r="A51" s="14" t="inlineStr">
        <is>
          <t>1er lugar</t>
        </is>
      </c>
      <c r="B51" s="15" t="n"/>
      <c r="C51" s="15" t="inlineStr">
        <is>
          <t>V39</t>
        </is>
      </c>
      <c r="D51" s="30" t="n">
        <v>28228</v>
      </c>
      <c r="E51" s="15" t="n"/>
      <c r="F51" s="15" t="n"/>
      <c r="G51" s="15" t="n"/>
      <c r="H51" s="15" t="n"/>
      <c r="I51" s="15" t="n"/>
      <c r="J51" s="15" t="n"/>
      <c r="K51" s="15" t="n"/>
      <c r="L51" s="15" t="n"/>
      <c r="M51" s="31" t="n">
        <v>0.2448710497323837</v>
      </c>
      <c r="N51" s="31" t="n">
        <v>0.2448710497323837</v>
      </c>
    </row>
    <row r="52" ht="18" customHeight="1">
      <c r="A52" s="14" t="inlineStr">
        <is>
          <t>2o lugar</t>
        </is>
      </c>
      <c r="B52" s="15" t="n"/>
      <c r="C52" s="15" t="n"/>
      <c r="D52" s="15" t="inlineStr">
        <is>
          <t>JORGE</t>
        </is>
      </c>
      <c r="E52" s="15" t="inlineStr">
        <is>
          <t>V4</t>
        </is>
      </c>
      <c r="F52" s="30" t="n">
        <v>15999</v>
      </c>
      <c r="G52" s="15" t="n"/>
      <c r="H52" s="15" t="n"/>
      <c r="I52" s="15" t="n"/>
      <c r="J52" s="15" t="n"/>
      <c r="K52" s="15" t="n"/>
      <c r="L52" s="15" t="n"/>
      <c r="M52" s="31" t="n">
        <v>0.1387874424212983</v>
      </c>
      <c r="N52" s="31" t="n">
        <v>0.383658492153682</v>
      </c>
    </row>
    <row r="53" ht="18" customHeight="1">
      <c r="A53" s="14" t="inlineStr">
        <is>
          <t>3er lugar</t>
        </is>
      </c>
      <c r="B53" s="15" t="n"/>
      <c r="C53" s="15" t="n"/>
      <c r="D53" s="15" t="n"/>
      <c r="E53" s="15" t="inlineStr">
        <is>
          <t>EDGAR</t>
        </is>
      </c>
      <c r="F53" s="15" t="n"/>
      <c r="G53" s="15" t="inlineStr">
        <is>
          <t>FRANCISCO</t>
        </is>
      </c>
      <c r="H53" s="30" t="n">
        <v>14928</v>
      </c>
      <c r="I53" s="15" t="n"/>
      <c r="J53" s="15" t="n"/>
      <c r="K53" s="15" t="n"/>
      <c r="L53" s="15" t="n"/>
      <c r="M53" s="31" t="n">
        <v>0.1294967773276543</v>
      </c>
      <c r="N53" s="31" t="n">
        <v>0.5131552694813363</v>
      </c>
    </row>
    <row r="54" ht="18" customHeight="1">
      <c r="A54" s="14" t="inlineStr">
        <is>
          <t>4o lugar</t>
        </is>
      </c>
      <c r="B54" s="15" t="n"/>
      <c r="C54" s="15" t="n"/>
      <c r="D54" s="15" t="n"/>
      <c r="E54" s="15" t="n"/>
      <c r="F54" s="15" t="inlineStr">
        <is>
          <t>FRANCISCO</t>
        </is>
      </c>
      <c r="G54" s="15" t="n"/>
      <c r="H54" s="15" t="n"/>
      <c r="I54" s="15" t="inlineStr">
        <is>
          <t>V39</t>
        </is>
      </c>
      <c r="J54" s="30" t="n">
        <v>13452</v>
      </c>
      <c r="K54" s="15" t="n"/>
      <c r="L54" s="15" t="n"/>
      <c r="M54" s="31" t="n">
        <v>0.1166928355179264</v>
      </c>
      <c r="N54" s="31" t="n">
        <v>0.6298481049992627</v>
      </c>
    </row>
    <row r="55" ht="18" customHeight="1">
      <c r="A55" s="14" t="inlineStr">
        <is>
          <t>5o lugar</t>
        </is>
      </c>
      <c r="B55" s="15" t="n"/>
      <c r="C55" s="15" t="n"/>
      <c r="D55" s="15" t="n"/>
      <c r="E55" s="15" t="n"/>
      <c r="F55" s="15" t="n"/>
      <c r="G55" s="15" t="inlineStr">
        <is>
          <t>DEPOSITO</t>
        </is>
      </c>
      <c r="H55" s="15" t="n"/>
      <c r="I55" s="15" t="n"/>
      <c r="J55" s="15" t="n"/>
      <c r="K55" s="15" t="inlineStr">
        <is>
          <t>EDUARDO</t>
        </is>
      </c>
      <c r="L55" s="30" t="n">
        <v>11551</v>
      </c>
      <c r="M55" s="31" t="n">
        <v>0.1002021218456414</v>
      </c>
      <c r="N55" s="31" t="n">
        <v>0.7300502268449041</v>
      </c>
    </row>
    <row r="56" ht="18" customHeight="1"/>
    <row r="57" ht="18" customHeight="1">
      <c r="A57" s="35" t="inlineStr">
        <is>
          <t>COBRANZA TOTAL GENERAL</t>
        </is>
      </c>
      <c r="B57" s="28" t="n"/>
      <c r="C57" s="28" t="n"/>
      <c r="D57" s="28" t="n"/>
      <c r="E57" s="28" t="n"/>
      <c r="F57" s="28" t="n"/>
      <c r="G57" s="28" t="n"/>
      <c r="H57" s="28" t="n"/>
      <c r="I57" s="28" t="n"/>
      <c r="J57" s="28" t="n"/>
      <c r="K57" s="28" t="n"/>
      <c r="L57" s="28" t="n"/>
      <c r="M57" s="28" t="n"/>
      <c r="N57" s="28" t="n"/>
    </row>
    <row r="58" ht="18" customHeight="1">
      <c r="A58" s="16" t="inlineStr">
        <is>
          <t>Total</t>
        </is>
      </c>
      <c r="B58" s="262" t="n">
        <v>1408644</v>
      </c>
    </row>
    <row r="59" ht="18" customHeight="1">
      <c r="A59" s="12" t="inlineStr">
        <is>
          <t>Top 5</t>
        </is>
      </c>
      <c r="C59" s="13" t="n"/>
      <c r="D59" s="13" t="n"/>
      <c r="E59" s="13" t="n"/>
      <c r="F59" s="13" t="n"/>
      <c r="G59" s="13" t="n"/>
      <c r="H59" s="13" t="n"/>
      <c r="I59" s="13" t="n"/>
      <c r="J59" s="13" t="n"/>
      <c r="K59" s="13" t="n"/>
      <c r="L59" s="13" t="n"/>
      <c r="M59" s="13" t="n"/>
      <c r="N59" s="13" t="n"/>
    </row>
    <row r="60" ht="18" customHeight="1">
      <c r="A60" s="14" t="inlineStr">
        <is>
          <t>1er lugar</t>
        </is>
      </c>
      <c r="B60" s="15" t="n"/>
      <c r="C60" s="15" t="inlineStr">
        <is>
          <t>EDGAR</t>
        </is>
      </c>
      <c r="D60" s="30" t="n">
        <v>227673</v>
      </c>
      <c r="E60" s="15" t="n"/>
      <c r="F60" s="15" t="n"/>
      <c r="G60" s="15" t="n"/>
      <c r="H60" s="15" t="n"/>
      <c r="I60" s="15" t="n"/>
      <c r="J60" s="15" t="n"/>
      <c r="K60" s="15" t="n"/>
      <c r="L60" s="15" t="n"/>
      <c r="M60" s="31" t="n">
        <v>0.1616256484960004</v>
      </c>
      <c r="N60" s="31" t="n">
        <v>0.1616256484960004</v>
      </c>
    </row>
    <row r="61" ht="18" customHeight="1">
      <c r="A61" s="14" t="inlineStr">
        <is>
          <t>2o lugar</t>
        </is>
      </c>
      <c r="B61" s="15" t="n"/>
      <c r="C61" s="15" t="n"/>
      <c r="D61" s="15" t="inlineStr">
        <is>
          <t>DEPOSITO</t>
        </is>
      </c>
      <c r="E61" s="15" t="inlineStr">
        <is>
          <t>JORGE</t>
        </is>
      </c>
      <c r="F61" s="30" t="n">
        <v>170311</v>
      </c>
      <c r="G61" s="15" t="n"/>
      <c r="H61" s="15" t="n"/>
      <c r="I61" s="15" t="n"/>
      <c r="J61" s="15" t="n"/>
      <c r="K61" s="15" t="n"/>
      <c r="L61" s="15" t="n"/>
      <c r="M61" s="31" t="n">
        <v>0.1209042171052445</v>
      </c>
      <c r="N61" s="31" t="n">
        <v>0.2825298656012449</v>
      </c>
    </row>
    <row r="62" ht="18" customHeight="1">
      <c r="A62" s="14" t="inlineStr">
        <is>
          <t>3er lugar</t>
        </is>
      </c>
      <c r="B62" s="15" t="n"/>
      <c r="C62" s="15" t="n"/>
      <c r="D62" s="15" t="n"/>
      <c r="E62" s="15" t="inlineStr">
        <is>
          <t>JORGE</t>
        </is>
      </c>
      <c r="F62" s="15" t="n"/>
      <c r="G62" s="15" t="inlineStr">
        <is>
          <t>V6</t>
        </is>
      </c>
      <c r="H62" s="30" t="n">
        <v>153967</v>
      </c>
      <c r="I62" s="15" t="n"/>
      <c r="J62" s="15" t="n"/>
      <c r="K62" s="15" t="n"/>
      <c r="L62" s="15" t="n"/>
      <c r="M62" s="31" t="n">
        <v>0.1093015694526083</v>
      </c>
      <c r="N62" s="31" t="n">
        <v>0.3918314350538532</v>
      </c>
    </row>
    <row r="63" ht="18" customHeight="1">
      <c r="A63" s="14" t="inlineStr">
        <is>
          <t>4o lugar</t>
        </is>
      </c>
      <c r="B63" s="15" t="n"/>
      <c r="C63" s="15" t="n"/>
      <c r="D63" s="15" t="n"/>
      <c r="E63" s="15" t="n"/>
      <c r="F63" s="15" t="inlineStr">
        <is>
          <t>V1</t>
        </is>
      </c>
      <c r="G63" s="15" t="n"/>
      <c r="H63" s="15" t="n"/>
      <c r="I63" s="15" t="inlineStr">
        <is>
          <t>DEPOSITO</t>
        </is>
      </c>
      <c r="J63" s="30" t="n">
        <v>141219</v>
      </c>
      <c r="K63" s="15" t="n"/>
      <c r="L63" s="15" t="n"/>
      <c r="M63" s="31" t="n">
        <v>0.1002517314523755</v>
      </c>
      <c r="N63" s="31" t="n">
        <v>0.4920831665062287</v>
      </c>
    </row>
    <row r="64" ht="18" customHeight="1">
      <c r="A64" s="14" t="inlineStr">
        <is>
          <t>5o lugar</t>
        </is>
      </c>
      <c r="B64" s="15" t="n"/>
      <c r="C64" s="15" t="n"/>
      <c r="D64" s="15" t="n"/>
      <c r="E64" s="15" t="n"/>
      <c r="F64" s="15" t="n"/>
      <c r="G64" s="15" t="inlineStr">
        <is>
          <t>FRANCISCO</t>
        </is>
      </c>
      <c r="H64" s="15" t="n"/>
      <c r="I64" s="15" t="n"/>
      <c r="J64" s="15" t="n"/>
      <c r="K64" s="15" t="inlineStr">
        <is>
          <t>FRANCISCO</t>
        </is>
      </c>
      <c r="L64" s="30" t="n">
        <v>134949</v>
      </c>
      <c r="M64" s="31" t="n">
        <v>0.09580064231984803</v>
      </c>
      <c r="N64" s="31" t="n">
        <v>0.5878838088260767</v>
      </c>
    </row>
    <row r="65" ht="18" customHeight="1"/>
    <row r="66" ht="18" customHeight="1">
      <c r="A66" s="35" t="inlineStr">
        <is>
          <t>COBRANZA ADELANTADA F.</t>
        </is>
      </c>
      <c r="B66" s="28" t="n"/>
      <c r="C66" s="28" t="n"/>
      <c r="D66" s="28" t="n"/>
      <c r="E66" s="28" t="n"/>
      <c r="F66" s="28" t="n"/>
      <c r="G66" s="28" t="n"/>
      <c r="H66" s="28" t="n"/>
      <c r="I66" s="28" t="n"/>
      <c r="J66" s="28" t="n"/>
      <c r="K66" s="28" t="n"/>
      <c r="L66" s="28" t="n"/>
      <c r="M66" s="28" t="n"/>
      <c r="N66" s="28" t="n"/>
    </row>
    <row r="67" ht="18" customHeight="1">
      <c r="A67" s="8" t="inlineStr">
        <is>
          <t>Total</t>
        </is>
      </c>
      <c r="B67" s="261" t="n">
        <v>8618</v>
      </c>
    </row>
    <row r="68" ht="18" customHeight="1">
      <c r="A68" s="12" t="inlineStr">
        <is>
          <t>Top 5</t>
        </is>
      </c>
      <c r="C68" s="13" t="n"/>
      <c r="D68" s="13" t="n"/>
      <c r="E68" s="13" t="n"/>
      <c r="F68" s="13" t="n"/>
      <c r="G68" s="13" t="n"/>
      <c r="H68" s="13" t="n"/>
      <c r="I68" s="13" t="n"/>
      <c r="J68" s="13" t="n"/>
      <c r="K68" s="13" t="n"/>
      <c r="L68" s="13" t="n"/>
      <c r="M68" s="13" t="n"/>
      <c r="N68" s="13" t="n"/>
    </row>
    <row r="69" ht="18" customHeight="1">
      <c r="A69" s="14" t="inlineStr">
        <is>
          <t>1er lugar</t>
        </is>
      </c>
      <c r="B69" s="15" t="n"/>
      <c r="C69" s="15" t="inlineStr">
        <is>
          <t>DEPOSITO</t>
        </is>
      </c>
      <c r="D69" s="30" t="n">
        <v>6604</v>
      </c>
      <c r="E69" s="15" t="n"/>
      <c r="F69" s="15" t="n"/>
      <c r="G69" s="15" t="n"/>
      <c r="H69" s="15" t="n"/>
      <c r="I69" s="15" t="n"/>
      <c r="J69" s="15" t="n"/>
      <c r="K69" s="15" t="n"/>
      <c r="L69" s="15" t="n"/>
      <c r="M69" s="31" t="n">
        <v>0.7663030865630076</v>
      </c>
      <c r="N69" s="31" t="n">
        <v>0.7663030865630076</v>
      </c>
    </row>
    <row r="70" ht="18" customHeight="1">
      <c r="A70" s="14" t="inlineStr">
        <is>
          <t>2o lugar</t>
        </is>
      </c>
      <c r="B70" s="15" t="n"/>
      <c r="C70" s="15" t="n"/>
      <c r="D70" s="15" t="n"/>
      <c r="E70" s="15" t="inlineStr">
        <is>
          <t>JORGE</t>
        </is>
      </c>
      <c r="F70" s="30" t="n">
        <v>784</v>
      </c>
      <c r="G70" s="15" t="n"/>
      <c r="H70" s="15" t="n"/>
      <c r="I70" s="15" t="n"/>
      <c r="J70" s="15" t="n"/>
      <c r="K70" s="15" t="n"/>
      <c r="L70" s="15" t="n"/>
      <c r="M70" s="31" t="n">
        <v>0.09097238338361568</v>
      </c>
      <c r="N70" s="31" t="n">
        <v>0.8572754699466233</v>
      </c>
    </row>
    <row r="71" ht="18" customHeight="1">
      <c r="A71" s="14" t="inlineStr">
        <is>
          <t>3er lugar</t>
        </is>
      </c>
      <c r="B71" s="15" t="n"/>
      <c r="C71" s="15" t="n"/>
      <c r="D71" s="15" t="n"/>
      <c r="E71" s="15" t="n"/>
      <c r="F71" s="15" t="n"/>
      <c r="G71" s="15" t="inlineStr">
        <is>
          <t>EDUARDO</t>
        </is>
      </c>
      <c r="H71" s="30" t="n">
        <v>645</v>
      </c>
      <c r="I71" s="15" t="n"/>
      <c r="J71" s="15" t="n"/>
      <c r="K71" s="15" t="n"/>
      <c r="L71" s="15" t="n"/>
      <c r="M71" s="31" t="n">
        <v>0.07484335112555117</v>
      </c>
      <c r="N71" s="31" t="n">
        <v>0.9321188210721745</v>
      </c>
    </row>
    <row r="72" ht="18" customHeight="1">
      <c r="A72" s="14" t="inlineStr">
        <is>
          <t>4o lugar</t>
        </is>
      </c>
      <c r="B72" s="15" t="n"/>
      <c r="C72" s="15" t="n"/>
      <c r="D72" s="15" t="n"/>
      <c r="E72" s="15" t="n"/>
      <c r="F72" s="15" t="n"/>
      <c r="G72" s="15" t="n"/>
      <c r="H72" s="15" t="n"/>
      <c r="I72" s="15" t="inlineStr">
        <is>
          <t>FRANCISCO</t>
        </is>
      </c>
      <c r="J72" s="30" t="n">
        <v>585</v>
      </c>
      <c r="K72" s="15" t="n"/>
      <c r="L72" s="15" t="n"/>
      <c r="M72" s="31" t="n">
        <v>0.06788117892782548</v>
      </c>
      <c r="N72" s="31" t="n">
        <v>1</v>
      </c>
    </row>
    <row r="73" ht="18" customHeight="1">
      <c r="A73" s="14" t="inlineStr">
        <is>
          <t>5o lugar</t>
        </is>
      </c>
      <c r="B73" s="15" t="n"/>
      <c r="C73" s="15" t="n"/>
      <c r="D73" s="15" t="n"/>
      <c r="E73" s="15" t="n"/>
      <c r="F73" s="15" t="n"/>
      <c r="G73" s="15" t="n"/>
      <c r="H73" s="15" t="n"/>
      <c r="I73" s="15" t="n"/>
      <c r="J73" s="15" t="n"/>
      <c r="K73" s="15" t="n"/>
      <c r="L73" s="15" t="n"/>
      <c r="M73" s="15" t="n"/>
      <c r="N73" s="15" t="n"/>
    </row>
    <row r="74" ht="18" customHeight="1"/>
    <row r="75" ht="18" customHeight="1">
      <c r="A75" s="82" t="inlineStr">
        <is>
          <t>PROYECCION ENERO  FEBRERO</t>
        </is>
      </c>
      <c r="B75" s="28" t="n"/>
      <c r="C75" s="28" t="n"/>
      <c r="D75" s="28" t="n"/>
      <c r="E75" s="28" t="n"/>
      <c r="F75" s="28" t="n"/>
      <c r="G75" s="28" t="n"/>
      <c r="H75" s="28" t="n"/>
      <c r="I75" s="28" t="n"/>
      <c r="J75" s="28" t="n"/>
      <c r="K75" s="28" t="n"/>
      <c r="L75" s="28" t="n"/>
      <c r="M75" s="28" t="n"/>
      <c r="N75" s="28" t="n"/>
    </row>
    <row r="76" ht="18" customHeight="1">
      <c r="A76" s="19" t="inlineStr">
        <is>
          <t>Proyeccion FEBRERO</t>
        </is>
      </c>
      <c r="B76" s="263" t="n">
        <v>1158184</v>
      </c>
    </row>
    <row r="77" ht="18" customHeight="1"/>
    <row r="78" ht="18" customHeight="1"/>
    <row r="79" ht="24" customHeight="1">
      <c r="A79" s="277" t="inlineStr">
        <is>
          <t>FEBRERO 2026</t>
        </is>
      </c>
    </row>
    <row r="80" ht="18" customHeight="1">
      <c r="A80" s="5" t="inlineStr">
        <is>
          <t>CONCEPTO</t>
        </is>
      </c>
      <c r="B80" s="5" t="inlineStr">
        <is>
          <t>TOTAL ($)</t>
        </is>
      </c>
      <c r="C80" s="5" t="inlineStr">
        <is>
          <t>TOP 1</t>
        </is>
      </c>
      <c r="D80" s="5" t="inlineStr">
        <is>
          <t>TOP 2</t>
        </is>
      </c>
      <c r="E80" s="5" t="inlineStr">
        <is>
          <t>TOP 3</t>
        </is>
      </c>
      <c r="F80" s="5" t="inlineStr">
        <is>
          <t>TOP 4</t>
        </is>
      </c>
      <c r="G80" s="5" t="inlineStr">
        <is>
          <t>TOP 5</t>
        </is>
      </c>
      <c r="H80" s="5" t="inlineStr">
        <is>
          <t>% TOP 1</t>
        </is>
      </c>
      <c r="I80" s="5" t="inlineStr">
        <is>
          <t>% TOP 2</t>
        </is>
      </c>
      <c r="J80" s="5" t="inlineStr">
        <is>
          <t>% TOP 3</t>
        </is>
      </c>
      <c r="K80" s="5" t="inlineStr">
        <is>
          <t>% TOP 4</t>
        </is>
      </c>
      <c r="L80" s="5" t="inlineStr">
        <is>
          <t>% TOP 5</t>
        </is>
      </c>
      <c r="M80" s="5" t="inlineStr">
        <is>
          <t>% ACUM.</t>
        </is>
      </c>
    </row>
    <row r="81" ht="18" customHeight="1">
      <c r="A81" s="35" t="inlineStr">
        <is>
          <t>DATOS GENERALES</t>
        </is>
      </c>
      <c r="B81" s="28" t="n"/>
      <c r="C81" s="28" t="n"/>
      <c r="D81" s="28" t="n"/>
      <c r="E81" s="28" t="n"/>
      <c r="F81" s="28" t="n"/>
      <c r="G81" s="28" t="n"/>
      <c r="H81" s="28" t="n"/>
      <c r="I81" s="28" t="n"/>
      <c r="J81" s="28" t="n"/>
      <c r="K81" s="28" t="n"/>
      <c r="L81" s="28" t="n"/>
      <c r="M81" s="28" t="n"/>
      <c r="N81" s="28" t="n"/>
    </row>
    <row r="82" ht="18" customHeight="1">
      <c r="A82" s="8" t="inlineStr">
        <is>
          <t>Mes</t>
        </is>
      </c>
      <c r="B82" s="9" t="inlineStr">
        <is>
          <t>FEBRERO</t>
        </is>
      </c>
      <c r="E82" s="8" t="inlineStr">
        <is>
          <t>Año</t>
        </is>
      </c>
      <c r="F82" s="9" t="inlineStr">
        <is>
          <t>2026</t>
        </is>
      </c>
    </row>
    <row r="83" ht="18" customHeight="1">
      <c r="A83" s="8" t="inlineStr">
        <is>
          <t>Fecha de corte</t>
        </is>
      </c>
      <c r="B83" s="10" t="n"/>
      <c r="E83" s="8" t="inlineStr">
        <is>
          <t>Elaboró</t>
        </is>
      </c>
      <c r="F83" s="10" t="n"/>
    </row>
    <row r="84" ht="18" customHeight="1">
      <c r="A84" s="8" t="inlineStr">
        <is>
          <t>Reportado por</t>
        </is>
      </c>
      <c r="B84" s="10" t="n"/>
      <c r="E84" s="8" t="inlineStr">
        <is>
          <t>Cargo</t>
        </is>
      </c>
      <c r="F84" s="10" t="n"/>
    </row>
    <row r="85" ht="18" customHeight="1"/>
    <row r="86" ht="18" customHeight="1">
      <c r="A86" s="35" t="inlineStr">
        <is>
          <t>COBRANZA CORRIENTE</t>
        </is>
      </c>
      <c r="B86" s="28" t="n"/>
      <c r="C86" s="28" t="n"/>
      <c r="D86" s="28" t="n"/>
      <c r="E86" s="28" t="n"/>
      <c r="F86" s="28" t="n"/>
      <c r="G86" s="28" t="n"/>
      <c r="H86" s="28" t="n"/>
      <c r="I86" s="28" t="n"/>
      <c r="J86" s="28" t="n"/>
      <c r="K86" s="28" t="n"/>
      <c r="L86" s="28" t="n"/>
      <c r="M86" s="28" t="n"/>
      <c r="N86" s="28" t="n"/>
    </row>
    <row r="87" ht="18" customHeight="1">
      <c r="A87" s="8" t="inlineStr">
        <is>
          <t>Total</t>
        </is>
      </c>
      <c r="B87" s="11" t="n">
        <v>1251614</v>
      </c>
    </row>
    <row r="88" ht="18" customHeight="1">
      <c r="A88" s="12" t="inlineStr">
        <is>
          <t>Top 5</t>
        </is>
      </c>
      <c r="C88" s="13" t="n"/>
      <c r="D88" s="13" t="n"/>
      <c r="E88" s="13" t="n"/>
      <c r="F88" s="13" t="n"/>
      <c r="G88" s="13" t="n"/>
      <c r="H88" s="13" t="n"/>
      <c r="I88" s="13" t="n"/>
      <c r="J88" s="13" t="n"/>
      <c r="K88" s="13" t="n"/>
      <c r="L88" s="13" t="n"/>
      <c r="M88" s="13" t="n"/>
      <c r="N88" s="13" t="n"/>
    </row>
    <row r="89" ht="18" customHeight="1">
      <c r="A89" s="14" t="inlineStr">
        <is>
          <t>1er lugar</t>
        </is>
      </c>
      <c r="B89" s="15" t="n">
        <v>207793</v>
      </c>
      <c r="C89" s="15" t="inlineStr">
        <is>
          <t>V1</t>
        </is>
      </c>
      <c r="D89" s="15" t="n"/>
      <c r="E89" s="15" t="n"/>
      <c r="F89" s="15" t="n"/>
      <c r="G89" s="15" t="n"/>
      <c r="H89" s="15" t="n"/>
      <c r="I89" s="15" t="n"/>
      <c r="J89" s="15" t="n"/>
      <c r="K89" s="15" t="n"/>
      <c r="L89" s="15" t="n"/>
      <c r="M89" s="15" t="n"/>
      <c r="N89" s="15" t="n"/>
    </row>
    <row r="90" ht="18" customHeight="1">
      <c r="A90" s="14" t="inlineStr">
        <is>
          <t>2o lugar</t>
        </is>
      </c>
      <c r="B90" s="15" t="n">
        <v>198234</v>
      </c>
      <c r="C90" s="15" t="n"/>
      <c r="D90" s="15" t="inlineStr">
        <is>
          <t>V6</t>
        </is>
      </c>
      <c r="E90" s="15" t="n"/>
      <c r="F90" s="15" t="n"/>
      <c r="G90" s="15" t="n"/>
      <c r="H90" s="15" t="n"/>
      <c r="I90" s="15" t="n"/>
      <c r="J90" s="15" t="n"/>
      <c r="K90" s="15" t="n"/>
      <c r="L90" s="15" t="n"/>
      <c r="M90" s="15" t="n"/>
      <c r="N90" s="15" t="n"/>
    </row>
    <row r="91" ht="18" customHeight="1">
      <c r="A91" s="14" t="inlineStr">
        <is>
          <t>3er lugar</t>
        </is>
      </c>
      <c r="B91" s="15" t="n">
        <v>156891</v>
      </c>
      <c r="C91" s="15" t="n"/>
      <c r="D91" s="15" t="n"/>
      <c r="E91" s="15" t="inlineStr">
        <is>
          <t>V39</t>
        </is>
      </c>
      <c r="F91" s="15" t="n"/>
      <c r="G91" s="15" t="n"/>
      <c r="H91" s="15" t="n"/>
      <c r="I91" s="15" t="n"/>
      <c r="J91" s="15" t="n"/>
      <c r="K91" s="15" t="n"/>
      <c r="L91" s="15" t="n"/>
      <c r="M91" s="15" t="n"/>
      <c r="N91" s="15" t="n"/>
    </row>
    <row r="92" ht="18" customHeight="1">
      <c r="A92" s="14" t="inlineStr">
        <is>
          <t>4o lugar</t>
        </is>
      </c>
      <c r="B92" s="15" t="n">
        <v>142567</v>
      </c>
      <c r="C92" s="15" t="n"/>
      <c r="D92" s="15" t="n"/>
      <c r="E92" s="15" t="n"/>
      <c r="F92" s="15" t="inlineStr">
        <is>
          <t>V38</t>
        </is>
      </c>
      <c r="G92" s="15" t="n"/>
      <c r="H92" s="15" t="n"/>
      <c r="I92" s="15" t="n"/>
      <c r="J92" s="15" t="n"/>
      <c r="K92" s="15" t="n"/>
      <c r="L92" s="15" t="n"/>
      <c r="M92" s="15" t="n"/>
      <c r="N92" s="15" t="n"/>
    </row>
    <row r="93" ht="18" customHeight="1">
      <c r="A93" s="14" t="inlineStr">
        <is>
          <t>5o lugar</t>
        </is>
      </c>
      <c r="B93" s="15" t="n">
        <v>98765</v>
      </c>
      <c r="C93" s="15" t="n"/>
      <c r="D93" s="15" t="n"/>
      <c r="E93" s="15" t="n"/>
      <c r="F93" s="15" t="n"/>
      <c r="G93" s="15" t="inlineStr">
        <is>
          <t>V27</t>
        </is>
      </c>
      <c r="H93" s="15" t="n"/>
      <c r="I93" s="15" t="n"/>
      <c r="J93" s="15" t="n"/>
      <c r="K93" s="15" t="n"/>
      <c r="L93" s="15" t="n"/>
      <c r="M93" s="15" t="n"/>
      <c r="N93" s="15" t="n"/>
    </row>
    <row r="94" ht="18" customHeight="1"/>
    <row r="95" ht="18" customHeight="1">
      <c r="A95" s="35" t="inlineStr">
        <is>
          <t>CANCELACIONES</t>
        </is>
      </c>
      <c r="B95" s="28" t="n"/>
      <c r="C95" s="28" t="n"/>
      <c r="D95" s="28" t="n"/>
      <c r="E95" s="28" t="n"/>
      <c r="F95" s="28" t="n"/>
      <c r="G95" s="28" t="n"/>
      <c r="H95" s="28" t="n"/>
      <c r="I95" s="28" t="n"/>
      <c r="J95" s="28" t="n"/>
      <c r="K95" s="28" t="n"/>
      <c r="L95" s="28" t="n"/>
      <c r="M95" s="28" t="n"/>
      <c r="N95" s="28" t="n"/>
    </row>
    <row r="96" ht="18" customHeight="1">
      <c r="A96" s="16" t="inlineStr">
        <is>
          <t>Total</t>
        </is>
      </c>
      <c r="B96" s="17" t="n">
        <v>127110</v>
      </c>
    </row>
    <row r="97" ht="18" customHeight="1">
      <c r="A97" s="12" t="inlineStr">
        <is>
          <t>Top 5</t>
        </is>
      </c>
      <c r="C97" s="13" t="n"/>
      <c r="D97" s="13" t="n"/>
      <c r="E97" s="13" t="n"/>
      <c r="F97" s="13" t="n"/>
      <c r="G97" s="13" t="n"/>
      <c r="H97" s="13" t="n"/>
      <c r="I97" s="13" t="n"/>
      <c r="J97" s="13" t="n"/>
      <c r="K97" s="13" t="n"/>
      <c r="L97" s="13" t="n"/>
      <c r="M97" s="13" t="n"/>
      <c r="N97" s="13" t="n"/>
    </row>
    <row r="98" ht="18" customHeight="1">
      <c r="A98" s="14" t="inlineStr">
        <is>
          <t>1er lugar</t>
        </is>
      </c>
      <c r="B98" s="15" t="n">
        <v>21035</v>
      </c>
      <c r="C98" s="15" t="inlineStr">
        <is>
          <t>V38</t>
        </is>
      </c>
      <c r="D98" s="15" t="n"/>
      <c r="E98" s="15" t="n"/>
      <c r="F98" s="15" t="n"/>
      <c r="G98" s="15" t="n"/>
      <c r="H98" s="15" t="n"/>
      <c r="I98" s="15" t="n"/>
      <c r="J98" s="15" t="n"/>
      <c r="K98" s="15" t="n"/>
      <c r="L98" s="15" t="n"/>
      <c r="M98" s="15" t="n"/>
      <c r="N98" s="15" t="n"/>
    </row>
    <row r="99" ht="18" customHeight="1">
      <c r="A99" s="14" t="inlineStr">
        <is>
          <t>2o lugar</t>
        </is>
      </c>
      <c r="B99" s="15" t="n">
        <v>17664</v>
      </c>
      <c r="C99" s="15" t="n"/>
      <c r="D99" s="15" t="inlineStr">
        <is>
          <t>V56</t>
        </is>
      </c>
      <c r="E99" s="15" t="n"/>
      <c r="F99" s="15" t="n"/>
      <c r="G99" s="15" t="n"/>
      <c r="H99" s="15" t="n"/>
      <c r="I99" s="15" t="n"/>
      <c r="J99" s="15" t="n"/>
      <c r="K99" s="15" t="n"/>
      <c r="L99" s="15" t="n"/>
      <c r="M99" s="15" t="n"/>
      <c r="N99" s="15" t="n"/>
    </row>
    <row r="100" ht="18" customHeight="1">
      <c r="A100" s="14" t="inlineStr">
        <is>
          <t>3er lugar</t>
        </is>
      </c>
      <c r="B100" s="15" t="n">
        <v>15924</v>
      </c>
      <c r="C100" s="15" t="n"/>
      <c r="D100" s="15" t="n"/>
      <c r="E100" s="15" t="inlineStr">
        <is>
          <t>V6</t>
        </is>
      </c>
      <c r="F100" s="15" t="n"/>
      <c r="G100" s="15" t="n"/>
      <c r="H100" s="15" t="n"/>
      <c r="I100" s="15" t="n"/>
      <c r="J100" s="15" t="n"/>
      <c r="K100" s="15" t="n"/>
      <c r="L100" s="15" t="n"/>
      <c r="M100" s="15" t="n"/>
      <c r="N100" s="15" t="n"/>
    </row>
    <row r="101" ht="18" customHeight="1">
      <c r="A101" s="14" t="inlineStr">
        <is>
          <t>4o lugar</t>
        </is>
      </c>
      <c r="B101" s="15" t="n">
        <v>14374</v>
      </c>
      <c r="C101" s="15" t="n"/>
      <c r="D101" s="15" t="n"/>
      <c r="E101" s="15" t="n"/>
      <c r="F101" s="15" t="inlineStr">
        <is>
          <t>V84</t>
        </is>
      </c>
      <c r="G101" s="15" t="n"/>
      <c r="H101" s="15" t="n"/>
      <c r="I101" s="15" t="n"/>
      <c r="J101" s="15" t="n"/>
      <c r="K101" s="15" t="n"/>
      <c r="L101" s="15" t="n"/>
      <c r="M101" s="15" t="n"/>
      <c r="N101" s="15" t="n"/>
    </row>
    <row r="102" ht="18" customHeight="1">
      <c r="A102" s="14" t="inlineStr">
        <is>
          <t>5o lugar</t>
        </is>
      </c>
      <c r="B102" s="15" t="n">
        <v>12431</v>
      </c>
      <c r="C102" s="15" t="n"/>
      <c r="D102" s="15" t="n"/>
      <c r="E102" s="15" t="n"/>
      <c r="F102" s="15" t="n"/>
      <c r="G102" s="15" t="inlineStr">
        <is>
          <t>V39</t>
        </is>
      </c>
      <c r="H102" s="15" t="n"/>
      <c r="I102" s="15" t="n"/>
      <c r="J102" s="15" t="n"/>
      <c r="K102" s="15" t="n"/>
      <c r="L102" s="15" t="n"/>
      <c r="M102" s="15" t="n"/>
      <c r="N102" s="15" t="n"/>
    </row>
    <row r="103" ht="18" customHeight="1"/>
    <row r="104" ht="18" customHeight="1">
      <c r="A104" s="35" t="inlineStr">
        <is>
          <t>COBRANZA VENCIDA</t>
        </is>
      </c>
      <c r="B104" s="28" t="n"/>
      <c r="C104" s="28" t="n"/>
      <c r="D104" s="28" t="n"/>
      <c r="E104" s="28" t="n"/>
      <c r="F104" s="28" t="n"/>
      <c r="G104" s="28" t="n"/>
      <c r="H104" s="28" t="n"/>
      <c r="I104" s="28" t="n"/>
      <c r="J104" s="28" t="n"/>
      <c r="K104" s="28" t="n"/>
      <c r="L104" s="28" t="n"/>
      <c r="M104" s="28" t="n"/>
      <c r="N104" s="28" t="n"/>
    </row>
    <row r="105" ht="18" customHeight="1">
      <c r="A105" s="8" t="inlineStr">
        <is>
          <t>Total</t>
        </is>
      </c>
      <c r="B105" s="11" t="n">
        <v>251487.31</v>
      </c>
    </row>
    <row r="106" ht="18" customHeight="1">
      <c r="A106" s="12" t="inlineStr">
        <is>
          <t>Top 5</t>
        </is>
      </c>
      <c r="C106" s="13" t="n"/>
      <c r="D106" s="13" t="n"/>
      <c r="E106" s="13" t="n"/>
      <c r="F106" s="13" t="n"/>
      <c r="G106" s="13" t="n"/>
      <c r="H106" s="13" t="n"/>
      <c r="I106" s="13" t="n"/>
      <c r="J106" s="13" t="n"/>
      <c r="K106" s="13" t="n"/>
      <c r="L106" s="13" t="n"/>
      <c r="M106" s="13" t="n"/>
      <c r="N106" s="13" t="n"/>
    </row>
    <row r="107" ht="18" customHeight="1">
      <c r="A107" s="14" t="inlineStr">
        <is>
          <t>1er lugar</t>
        </is>
      </c>
      <c r="B107" s="15" t="n">
        <v>70796.5</v>
      </c>
      <c r="C107" s="15" t="inlineStr">
        <is>
          <t>V39 JOSE</t>
        </is>
      </c>
      <c r="D107" s="15" t="n"/>
      <c r="E107" s="15" t="n"/>
      <c r="F107" s="15" t="n"/>
      <c r="G107" s="15" t="n"/>
      <c r="H107" s="15" t="n"/>
      <c r="I107" s="15" t="n"/>
      <c r="J107" s="15" t="n"/>
      <c r="K107" s="15" t="n"/>
      <c r="L107" s="15" t="n"/>
      <c r="M107" s="15" t="n">
        <v>0.2815</v>
      </c>
      <c r="N107" s="15" t="n">
        <v>0.2815</v>
      </c>
    </row>
    <row r="108" ht="18" customHeight="1">
      <c r="A108" s="14" t="inlineStr">
        <is>
          <t>2o lugar</t>
        </is>
      </c>
      <c r="B108" s="15" t="n">
        <v>40169</v>
      </c>
      <c r="C108" s="15" t="n"/>
      <c r="D108" s="15" t="inlineStr">
        <is>
          <t>JORGE</t>
        </is>
      </c>
      <c r="E108" s="15" t="n"/>
      <c r="F108" s="15" t="n"/>
      <c r="G108" s="15" t="n"/>
      <c r="H108" s="15" t="n"/>
      <c r="I108" s="15" t="n"/>
      <c r="J108" s="15" t="n"/>
      <c r="K108" s="15" t="n"/>
      <c r="L108" s="15" t="n"/>
      <c r="M108" s="15" t="n">
        <v>0.1597</v>
      </c>
      <c r="N108" s="15" t="n">
        <v>0.4412</v>
      </c>
    </row>
    <row r="109" ht="18" customHeight="1">
      <c r="A109" s="14" t="inlineStr">
        <is>
          <t>3er lugar</t>
        </is>
      </c>
      <c r="B109" s="15" t="n">
        <v>35046</v>
      </c>
      <c r="C109" s="15" t="n"/>
      <c r="D109" s="15" t="n"/>
      <c r="E109" s="15" t="inlineStr">
        <is>
          <t>EDGAR</t>
        </is>
      </c>
      <c r="F109" s="15" t="n"/>
      <c r="G109" s="15" t="n"/>
      <c r="H109" s="15" t="n">
        <v>35046</v>
      </c>
      <c r="I109" s="15" t="n"/>
      <c r="J109" s="15" t="n"/>
      <c r="K109" s="15" t="n"/>
      <c r="L109" s="15" t="n"/>
      <c r="M109" s="15" t="n">
        <v>0.1394</v>
      </c>
      <c r="N109" s="15" t="n">
        <v>0.5806</v>
      </c>
    </row>
    <row r="110" ht="18" customHeight="1">
      <c r="A110" s="14" t="inlineStr">
        <is>
          <t>4o lugar</t>
        </is>
      </c>
      <c r="B110" s="15" t="n">
        <v>34647</v>
      </c>
      <c r="C110" s="15" t="n"/>
      <c r="D110" s="15" t="n"/>
      <c r="E110" s="15" t="n"/>
      <c r="F110" s="15" t="inlineStr">
        <is>
          <t>FRANCISCO</t>
        </is>
      </c>
      <c r="G110" s="15" t="n"/>
      <c r="H110" s="15" t="n"/>
      <c r="I110" s="15" t="inlineStr">
        <is>
          <t>FRANCISCO</t>
        </is>
      </c>
      <c r="J110" s="15" t="n">
        <v>34647</v>
      </c>
      <c r="K110" s="15" t="n"/>
      <c r="L110" s="15" t="n"/>
      <c r="M110" s="15" t="n">
        <v>0.1378</v>
      </c>
      <c r="N110" s="15" t="n">
        <v>0.7184</v>
      </c>
    </row>
    <row r="111" ht="18" customHeight="1">
      <c r="A111" s="14" t="inlineStr">
        <is>
          <t>5o lugar</t>
        </is>
      </c>
      <c r="B111" s="15" t="n">
        <v>24103.81</v>
      </c>
      <c r="C111" s="15" t="n"/>
      <c r="D111" s="15" t="n"/>
      <c r="E111" s="15" t="n"/>
      <c r="F111" s="15" t="n"/>
      <c r="G111" s="15" t="inlineStr">
        <is>
          <t>DEPOSITO</t>
        </is>
      </c>
      <c r="H111" s="15" t="n"/>
      <c r="I111" s="15" t="n"/>
      <c r="J111" s="15" t="n"/>
      <c r="K111" s="15" t="inlineStr">
        <is>
          <t>DEPOSITO</t>
        </is>
      </c>
      <c r="L111" s="15" t="n">
        <v>24103.81</v>
      </c>
      <c r="M111" s="15" t="n">
        <v>0.0958</v>
      </c>
      <c r="N111" s="15" t="n">
        <v>0.8142</v>
      </c>
    </row>
    <row r="112" ht="18" customHeight="1"/>
    <row r="113" ht="18" customHeight="1">
      <c r="A113" s="35" t="inlineStr">
        <is>
          <t>COBRANZA EFECTIVA</t>
        </is>
      </c>
      <c r="B113" s="28" t="n"/>
      <c r="C113" s="28" t="n"/>
      <c r="D113" s="28" t="n"/>
      <c r="E113" s="28" t="n"/>
      <c r="F113" s="28" t="n"/>
      <c r="G113" s="28" t="n"/>
      <c r="H113" s="28" t="n"/>
      <c r="I113" s="28" t="n"/>
      <c r="J113" s="28" t="n"/>
      <c r="K113" s="28" t="n"/>
      <c r="L113" s="28" t="n"/>
      <c r="M113" s="28" t="n"/>
      <c r="N113" s="28" t="n"/>
    </row>
    <row r="114" ht="18" customHeight="1">
      <c r="A114" s="16" t="inlineStr">
        <is>
          <t>Total</t>
        </is>
      </c>
      <c r="B114" s="17" t="n">
        <v>1131182</v>
      </c>
    </row>
    <row r="115" ht="18" customHeight="1">
      <c r="A115" s="12" t="inlineStr">
        <is>
          <t>Top 5</t>
        </is>
      </c>
      <c r="C115" s="13" t="n"/>
      <c r="D115" s="13" t="n"/>
      <c r="E115" s="13" t="n"/>
      <c r="F115" s="13" t="n"/>
      <c r="G115" s="13" t="n"/>
      <c r="H115" s="13" t="n"/>
      <c r="I115" s="13" t="n"/>
      <c r="J115" s="13" t="n"/>
      <c r="K115" s="13" t="n"/>
      <c r="L115" s="13" t="n"/>
      <c r="M115" s="13" t="n"/>
      <c r="N115" s="13" t="n"/>
    </row>
    <row r="116" ht="18" customHeight="1">
      <c r="A116" s="14" t="inlineStr">
        <is>
          <t>1er lugar</t>
        </is>
      </c>
      <c r="B116" s="15" t="n">
        <v>150839</v>
      </c>
      <c r="C116" s="15" t="inlineStr">
        <is>
          <t>EDGAR</t>
        </is>
      </c>
      <c r="D116" s="15" t="n"/>
      <c r="E116" s="15" t="n"/>
      <c r="F116" s="15" t="n"/>
      <c r="G116" s="15" t="n"/>
      <c r="H116" s="15" t="n"/>
      <c r="I116" s="15" t="n"/>
      <c r="J116" s="15" t="n"/>
      <c r="K116" s="15" t="n"/>
      <c r="L116" s="15" t="n"/>
      <c r="M116" s="15" t="n"/>
      <c r="N116" s="15" t="n"/>
    </row>
    <row r="117" ht="18" customHeight="1">
      <c r="A117" s="14" t="inlineStr">
        <is>
          <t>2o lugar</t>
        </is>
      </c>
      <c r="B117" s="15" t="n">
        <v>140739</v>
      </c>
      <c r="C117" s="15" t="n"/>
      <c r="D117" s="15" t="inlineStr">
        <is>
          <t>FRANCISCO</t>
        </is>
      </c>
      <c r="E117" s="15" t="n"/>
      <c r="F117" s="15" t="n"/>
      <c r="G117" s="15" t="n"/>
      <c r="H117" s="15" t="n"/>
      <c r="I117" s="15" t="n"/>
      <c r="J117" s="15" t="n"/>
      <c r="K117" s="15" t="n"/>
      <c r="L117" s="15" t="n"/>
      <c r="M117" s="15" t="n"/>
      <c r="N117" s="15" t="n"/>
    </row>
    <row r="118" ht="18" customHeight="1">
      <c r="A118" s="14" t="inlineStr">
        <is>
          <t>3er lugar</t>
        </is>
      </c>
      <c r="B118" s="15" t="n">
        <v>91742</v>
      </c>
      <c r="C118" s="15" t="n"/>
      <c r="D118" s="15" t="n"/>
      <c r="E118" s="15" t="inlineStr">
        <is>
          <t>EDUARDO</t>
        </is>
      </c>
      <c r="F118" s="15" t="n"/>
      <c r="G118" s="15" t="n"/>
      <c r="H118" s="15" t="n"/>
      <c r="I118" s="15" t="n"/>
      <c r="J118" s="15" t="n"/>
      <c r="K118" s="15" t="n"/>
      <c r="L118" s="15" t="n"/>
      <c r="M118" s="15" t="n"/>
      <c r="N118" s="15" t="n"/>
    </row>
    <row r="119" ht="18" customHeight="1">
      <c r="A119" s="14" t="inlineStr">
        <is>
          <t>4o lugar</t>
        </is>
      </c>
      <c r="B119" s="15" t="n">
        <v>88710</v>
      </c>
      <c r="C119" s="15" t="n"/>
      <c r="D119" s="15" t="n"/>
      <c r="E119" s="15" t="n"/>
      <c r="F119" s="15" t="inlineStr">
        <is>
          <t>JORGE</t>
        </is>
      </c>
      <c r="G119" s="15" t="n"/>
      <c r="H119" s="15" t="n"/>
      <c r="I119" s="15" t="n"/>
      <c r="J119" s="15" t="n"/>
      <c r="K119" s="15" t="n"/>
      <c r="L119" s="15" t="n"/>
      <c r="M119" s="15" t="n"/>
      <c r="N119" s="15" t="n"/>
    </row>
    <row r="120" ht="18" customHeight="1">
      <c r="A120" s="14" t="inlineStr">
        <is>
          <t>5o lugar</t>
        </is>
      </c>
      <c r="B120" s="15" t="n">
        <v>73492</v>
      </c>
      <c r="C120" s="15" t="n"/>
      <c r="D120" s="15" t="n"/>
      <c r="E120" s="15" t="n"/>
      <c r="F120" s="15" t="n"/>
      <c r="G120" s="15" t="inlineStr">
        <is>
          <t>DEPOSITO</t>
        </is>
      </c>
      <c r="H120" s="15" t="n"/>
      <c r="I120" s="15" t="n"/>
      <c r="J120" s="15" t="n"/>
      <c r="K120" s="15" t="n"/>
      <c r="L120" s="15" t="n"/>
      <c r="M120" s="15" t="n"/>
      <c r="N120" s="15" t="n"/>
    </row>
    <row r="121" ht="18" customHeight="1"/>
    <row r="122" ht="18" customHeight="1">
      <c r="A122" s="35" t="inlineStr">
        <is>
          <t>COBRANZA RECUPERADA</t>
        </is>
      </c>
      <c r="B122" s="28" t="n"/>
      <c r="C122" s="28" t="n"/>
      <c r="D122" s="28" t="n"/>
      <c r="E122" s="28" t="n"/>
      <c r="F122" s="28" t="n"/>
      <c r="G122" s="28" t="n"/>
      <c r="H122" s="28" t="n"/>
      <c r="I122" s="28" t="n"/>
      <c r="J122" s="28" t="n"/>
      <c r="K122" s="28" t="n"/>
      <c r="L122" s="28" t="n"/>
      <c r="M122" s="28" t="n"/>
      <c r="N122" s="28" t="n"/>
    </row>
    <row r="123" ht="18" customHeight="1">
      <c r="A123" s="8" t="inlineStr">
        <is>
          <t>Total</t>
        </is>
      </c>
      <c r="B123" s="11" t="n">
        <v>94027</v>
      </c>
    </row>
    <row r="124" ht="18" customHeight="1">
      <c r="A124" s="12" t="inlineStr">
        <is>
          <t>Top 5</t>
        </is>
      </c>
      <c r="C124" s="13" t="n"/>
      <c r="D124" s="13" t="n"/>
      <c r="E124" s="13" t="n"/>
      <c r="F124" s="13" t="n"/>
      <c r="G124" s="13" t="n"/>
      <c r="H124" s="13" t="n"/>
      <c r="I124" s="13" t="n"/>
      <c r="J124" s="13" t="n"/>
      <c r="K124" s="13" t="n"/>
      <c r="L124" s="13" t="n"/>
      <c r="M124" s="13" t="n"/>
      <c r="N124" s="13" t="n"/>
    </row>
    <row r="125" ht="18" customHeight="1">
      <c r="A125" s="14" t="inlineStr">
        <is>
          <t>1er lugar</t>
        </is>
      </c>
      <c r="B125" s="15" t="n">
        <v>29999</v>
      </c>
      <c r="C125" s="15" t="inlineStr">
        <is>
          <t>V1</t>
        </is>
      </c>
      <c r="D125" s="15" t="n"/>
      <c r="E125" s="15" t="n"/>
      <c r="F125" s="15" t="n"/>
      <c r="G125" s="15" t="n"/>
      <c r="H125" s="15" t="n"/>
      <c r="I125" s="15" t="n"/>
      <c r="J125" s="15" t="n"/>
      <c r="K125" s="15" t="n"/>
      <c r="L125" s="15" t="n"/>
      <c r="M125" s="15" t="n"/>
      <c r="N125" s="15" t="n"/>
    </row>
    <row r="126" ht="18" customHeight="1">
      <c r="A126" s="14" t="inlineStr">
        <is>
          <t>2o lugar</t>
        </is>
      </c>
      <c r="B126" s="15" t="n">
        <v>21234</v>
      </c>
      <c r="C126" s="15" t="n"/>
      <c r="D126" s="15" t="inlineStr">
        <is>
          <t>EDGAR</t>
        </is>
      </c>
      <c r="E126" s="15" t="n"/>
      <c r="F126" s="15" t="n"/>
      <c r="G126" s="15" t="n"/>
      <c r="H126" s="15" t="n"/>
      <c r="I126" s="15" t="n"/>
      <c r="J126" s="15" t="n"/>
      <c r="K126" s="15" t="n"/>
      <c r="L126" s="15" t="n"/>
      <c r="M126" s="15" t="n"/>
      <c r="N126" s="15" t="n"/>
    </row>
    <row r="127" ht="18" customHeight="1">
      <c r="A127" s="14" t="inlineStr">
        <is>
          <t>3er lugar</t>
        </is>
      </c>
      <c r="B127" s="15" t="n">
        <v>15987</v>
      </c>
      <c r="C127" s="15" t="n"/>
      <c r="D127" s="15" t="n"/>
      <c r="E127" s="15" t="inlineStr">
        <is>
          <t>DEPOSITO</t>
        </is>
      </c>
      <c r="F127" s="15" t="n"/>
      <c r="G127" s="15" t="n"/>
      <c r="H127" s="15" t="n"/>
      <c r="I127" s="15" t="n"/>
      <c r="J127" s="15" t="n"/>
      <c r="K127" s="15" t="n"/>
      <c r="L127" s="15" t="n"/>
      <c r="M127" s="15" t="n"/>
      <c r="N127" s="15" t="n"/>
    </row>
    <row r="128" ht="18" customHeight="1">
      <c r="A128" s="14" t="inlineStr">
        <is>
          <t>4o lugar</t>
        </is>
      </c>
      <c r="B128" s="15" t="n">
        <v>13456</v>
      </c>
      <c r="C128" s="15" t="n"/>
      <c r="D128" s="15" t="n"/>
      <c r="E128" s="15" t="n"/>
      <c r="F128" s="15" t="inlineStr">
        <is>
          <t>V39</t>
        </is>
      </c>
      <c r="G128" s="15" t="n"/>
      <c r="H128" s="15" t="n"/>
      <c r="I128" s="15" t="n"/>
      <c r="J128" s="15" t="n"/>
      <c r="K128" s="15" t="n"/>
      <c r="L128" s="15" t="n"/>
      <c r="M128" s="15" t="n"/>
      <c r="N128" s="15" t="n"/>
    </row>
    <row r="129" ht="18" customHeight="1">
      <c r="A129" s="14" t="inlineStr">
        <is>
          <t>5o lugar</t>
        </is>
      </c>
      <c r="B129" s="15" t="n">
        <v>11023</v>
      </c>
      <c r="C129" s="15" t="n"/>
      <c r="D129" s="15" t="n"/>
      <c r="E129" s="15" t="n"/>
      <c r="F129" s="15" t="n"/>
      <c r="G129" s="15" t="inlineStr">
        <is>
          <t>EDUARDO</t>
        </is>
      </c>
      <c r="H129" s="15" t="n"/>
      <c r="I129" s="15" t="n"/>
      <c r="J129" s="15" t="n"/>
      <c r="K129" s="15" t="n"/>
      <c r="L129" s="15" t="n"/>
      <c r="M129" s="15" t="n"/>
      <c r="N129" s="15" t="n"/>
    </row>
    <row r="130" ht="18" customHeight="1"/>
    <row r="131" ht="18" customHeight="1">
      <c r="A131" s="35" t="inlineStr">
        <is>
          <t>COBRANZA TOTAL GENERAL</t>
        </is>
      </c>
      <c r="B131" s="28" t="n"/>
      <c r="C131" s="28" t="n"/>
      <c r="D131" s="28" t="n"/>
      <c r="E131" s="28" t="n"/>
      <c r="F131" s="28" t="n"/>
      <c r="G131" s="28" t="n"/>
      <c r="H131" s="28" t="n"/>
      <c r="I131" s="28" t="n"/>
      <c r="J131" s="28" t="n"/>
      <c r="K131" s="28" t="n"/>
      <c r="L131" s="28" t="n"/>
      <c r="M131" s="28" t="n"/>
      <c r="N131" s="28" t="n"/>
    </row>
    <row r="132" ht="18" customHeight="1">
      <c r="A132" s="16" t="inlineStr">
        <is>
          <t>Total</t>
        </is>
      </c>
      <c r="B132" s="17" t="n">
        <v>1251614</v>
      </c>
    </row>
    <row r="133" ht="18" customHeight="1">
      <c r="A133" s="12" t="inlineStr">
        <is>
          <t>Top 5</t>
        </is>
      </c>
      <c r="C133" s="13" t="n"/>
      <c r="D133" s="13" t="n"/>
      <c r="E133" s="13" t="n"/>
      <c r="F133" s="13" t="n"/>
      <c r="G133" s="13" t="n"/>
      <c r="H133" s="13" t="n"/>
      <c r="I133" s="13" t="n"/>
      <c r="J133" s="13" t="n"/>
      <c r="K133" s="13" t="n"/>
      <c r="L133" s="13" t="n"/>
      <c r="M133" s="13" t="n"/>
      <c r="N133" s="13" t="n"/>
    </row>
    <row r="134" ht="18" customHeight="1">
      <c r="A134" s="14" t="inlineStr">
        <is>
          <t>1er lugar</t>
        </is>
      </c>
      <c r="B134" s="15" t="n">
        <v>227673</v>
      </c>
      <c r="C134" s="15" t="inlineStr">
        <is>
          <t>EDGAR</t>
        </is>
      </c>
      <c r="D134" s="15" t="n"/>
      <c r="E134" s="15" t="n"/>
      <c r="F134" s="15" t="n"/>
      <c r="G134" s="15" t="n"/>
      <c r="H134" s="15" t="n"/>
      <c r="I134" s="15" t="n"/>
      <c r="J134" s="15" t="n"/>
      <c r="K134" s="15" t="n"/>
      <c r="L134" s="15" t="n"/>
      <c r="M134" s="15" t="n"/>
      <c r="N134" s="15" t="n"/>
    </row>
    <row r="135" ht="18" customHeight="1">
      <c r="A135" s="14" t="inlineStr">
        <is>
          <t>2o lugar</t>
        </is>
      </c>
      <c r="B135" s="15" t="n">
        <v>170311</v>
      </c>
      <c r="C135" s="15" t="n"/>
      <c r="D135" s="15" t="inlineStr">
        <is>
          <t>JORGE</t>
        </is>
      </c>
      <c r="E135" s="15" t="n"/>
      <c r="F135" s="15" t="n"/>
      <c r="G135" s="15" t="n"/>
      <c r="H135" s="15" t="n"/>
      <c r="I135" s="15" t="n"/>
      <c r="J135" s="15" t="n"/>
      <c r="K135" s="15" t="n"/>
      <c r="L135" s="15" t="n"/>
      <c r="M135" s="15" t="n"/>
      <c r="N135" s="15" t="n"/>
    </row>
    <row r="136" ht="18" customHeight="1">
      <c r="A136" s="14" t="inlineStr">
        <is>
          <t>3er lugar</t>
        </is>
      </c>
      <c r="B136" s="15" t="n">
        <v>153967</v>
      </c>
      <c r="C136" s="15" t="n"/>
      <c r="D136" s="15" t="n"/>
      <c r="E136" s="15" t="inlineStr">
        <is>
          <t>V6</t>
        </is>
      </c>
      <c r="F136" s="15" t="n"/>
      <c r="G136" s="15" t="n"/>
      <c r="H136" s="15" t="n"/>
      <c r="I136" s="15" t="n"/>
      <c r="J136" s="15" t="n"/>
      <c r="K136" s="15" t="n"/>
      <c r="L136" s="15" t="n"/>
      <c r="M136" s="15" t="n"/>
      <c r="N136" s="15" t="n"/>
    </row>
    <row r="137" ht="18" customHeight="1">
      <c r="A137" s="14" t="inlineStr">
        <is>
          <t>4o lugar</t>
        </is>
      </c>
      <c r="B137" s="15" t="n">
        <v>141219</v>
      </c>
      <c r="C137" s="15" t="n"/>
      <c r="D137" s="15" t="n"/>
      <c r="E137" s="15" t="n"/>
      <c r="F137" s="15" t="inlineStr">
        <is>
          <t>DEPOSITO</t>
        </is>
      </c>
      <c r="G137" s="15" t="n"/>
      <c r="H137" s="15" t="n"/>
      <c r="I137" s="15" t="n"/>
      <c r="J137" s="15" t="n"/>
      <c r="K137" s="15" t="n"/>
      <c r="L137" s="15" t="n"/>
      <c r="M137" s="15" t="n"/>
      <c r="N137" s="15" t="n"/>
    </row>
    <row r="138" ht="18" customHeight="1">
      <c r="A138" s="14" t="inlineStr">
        <is>
          <t>5o lugar</t>
        </is>
      </c>
      <c r="B138" s="15" t="n">
        <v>134949</v>
      </c>
      <c r="C138" s="15" t="n"/>
      <c r="D138" s="15" t="n"/>
      <c r="E138" s="15" t="n"/>
      <c r="F138" s="15" t="n"/>
      <c r="G138" s="15" t="inlineStr">
        <is>
          <t>FRANCISCO</t>
        </is>
      </c>
      <c r="H138" s="15" t="n"/>
      <c r="I138" s="15" t="n"/>
      <c r="J138" s="15" t="n"/>
      <c r="K138" s="15" t="n"/>
      <c r="L138" s="15" t="n"/>
      <c r="M138" s="15" t="n"/>
      <c r="N138" s="15" t="n"/>
    </row>
    <row r="139" ht="18" customHeight="1"/>
    <row r="140" ht="18" customHeight="1">
      <c r="A140" s="35" t="inlineStr">
        <is>
          <t>COBRANZA ADELANTADA F.</t>
        </is>
      </c>
      <c r="B140" s="28" t="n"/>
      <c r="C140" s="28" t="n"/>
      <c r="D140" s="28" t="n"/>
      <c r="E140" s="28" t="n"/>
      <c r="F140" s="28" t="n"/>
      <c r="G140" s="28" t="n"/>
      <c r="H140" s="28" t="n"/>
      <c r="I140" s="28" t="n"/>
      <c r="J140" s="28" t="n"/>
      <c r="K140" s="28" t="n"/>
      <c r="L140" s="28" t="n"/>
      <c r="M140" s="28" t="n"/>
      <c r="N140" s="28" t="n"/>
    </row>
    <row r="141" ht="18" customHeight="1">
      <c r="A141" s="8" t="inlineStr">
        <is>
          <t>Total</t>
        </is>
      </c>
      <c r="B141" s="11" t="n">
        <v>0</v>
      </c>
    </row>
    <row r="142" ht="18" customHeight="1">
      <c r="A142" s="12" t="inlineStr">
        <is>
          <t>Top 5</t>
        </is>
      </c>
      <c r="C142" s="13" t="n"/>
      <c r="D142" s="13" t="n"/>
      <c r="E142" s="13" t="n"/>
      <c r="F142" s="13" t="n"/>
      <c r="G142" s="13" t="n"/>
      <c r="H142" s="13" t="n"/>
      <c r="I142" s="13" t="n"/>
      <c r="J142" s="13" t="n"/>
      <c r="K142" s="13" t="n"/>
      <c r="L142" s="13" t="n"/>
      <c r="M142" s="13" t="n"/>
      <c r="N142" s="13" t="n"/>
    </row>
    <row r="143" ht="18" customHeight="1">
      <c r="A143" s="14" t="inlineStr">
        <is>
          <t>1er lugar</t>
        </is>
      </c>
      <c r="B143" s="15" t="n"/>
      <c r="C143" s="15" t="n"/>
      <c r="D143" s="15" t="n"/>
      <c r="E143" s="15" t="n"/>
      <c r="F143" s="15" t="n"/>
      <c r="G143" s="15" t="n"/>
      <c r="H143" s="15" t="n"/>
      <c r="I143" s="15" t="n"/>
      <c r="J143" s="15" t="n"/>
      <c r="K143" s="15" t="n"/>
      <c r="L143" s="15" t="n"/>
      <c r="M143" s="15" t="n"/>
      <c r="N143" s="15" t="n"/>
    </row>
    <row r="144" ht="18" customHeight="1">
      <c r="A144" s="14" t="inlineStr">
        <is>
          <t>2o lugar</t>
        </is>
      </c>
      <c r="B144" s="15" t="n"/>
      <c r="C144" s="15" t="n"/>
      <c r="D144" s="15" t="n"/>
      <c r="E144" s="15" t="n"/>
      <c r="F144" s="15" t="n"/>
      <c r="G144" s="15" t="n"/>
      <c r="H144" s="15" t="n"/>
      <c r="I144" s="15" t="n"/>
      <c r="J144" s="15" t="n"/>
      <c r="K144" s="15" t="n"/>
      <c r="L144" s="15" t="n"/>
      <c r="M144" s="15" t="n"/>
      <c r="N144" s="15" t="n"/>
    </row>
    <row r="145" ht="18" customHeight="1">
      <c r="A145" s="14" t="inlineStr">
        <is>
          <t>3er lugar</t>
        </is>
      </c>
      <c r="B145" s="15" t="n"/>
      <c r="C145" s="15" t="n"/>
      <c r="D145" s="15" t="n"/>
      <c r="E145" s="15" t="n"/>
      <c r="F145" s="15" t="n"/>
      <c r="G145" s="15" t="n"/>
      <c r="H145" s="15" t="n"/>
      <c r="I145" s="15" t="n"/>
      <c r="J145" s="15" t="n"/>
      <c r="K145" s="15" t="n"/>
      <c r="L145" s="15" t="n"/>
      <c r="M145" s="15" t="n"/>
      <c r="N145" s="15" t="n"/>
    </row>
    <row r="146" ht="18" customHeight="1">
      <c r="A146" s="14" t="inlineStr">
        <is>
          <t>4o lugar</t>
        </is>
      </c>
      <c r="B146" s="15" t="n"/>
      <c r="C146" s="15" t="n"/>
      <c r="D146" s="15" t="n"/>
      <c r="E146" s="15" t="n"/>
      <c r="F146" s="15" t="n"/>
      <c r="G146" s="15" t="n"/>
      <c r="H146" s="15" t="n"/>
      <c r="I146" s="15" t="n"/>
      <c r="J146" s="15" t="n"/>
      <c r="K146" s="15" t="n"/>
      <c r="L146" s="15" t="n"/>
      <c r="M146" s="15" t="n"/>
      <c r="N146" s="15" t="n"/>
    </row>
    <row r="147" ht="18" customHeight="1">
      <c r="A147" s="14" t="inlineStr">
        <is>
          <t>5o lugar</t>
        </is>
      </c>
      <c r="B147" s="15" t="n"/>
      <c r="C147" s="15" t="n"/>
      <c r="D147" s="15" t="n"/>
      <c r="E147" s="15" t="n"/>
      <c r="F147" s="15" t="n"/>
      <c r="G147" s="15" t="n"/>
      <c r="H147" s="15" t="n"/>
      <c r="I147" s="15" t="n"/>
      <c r="J147" s="15" t="n"/>
      <c r="K147" s="15" t="n"/>
      <c r="L147" s="15" t="n"/>
      <c r="M147" s="15" t="n"/>
      <c r="N147" s="15" t="n"/>
    </row>
    <row r="148" ht="18" customHeight="1"/>
    <row r="149" ht="18" customHeight="1">
      <c r="A149" s="82" t="inlineStr">
        <is>
          <t>PROYECCIÓN FEBRERO → FEBRERO</t>
        </is>
      </c>
      <c r="B149" s="28" t="n"/>
      <c r="C149" s="28" t="n"/>
      <c r="D149" s="28" t="n"/>
      <c r="E149" s="28" t="n"/>
      <c r="F149" s="28" t="n"/>
      <c r="G149" s="28" t="n"/>
      <c r="H149" s="28" t="n"/>
      <c r="I149" s="28" t="n"/>
      <c r="J149" s="28" t="n"/>
      <c r="K149" s="28" t="n"/>
      <c r="L149" s="28" t="n"/>
      <c r="M149" s="28" t="n"/>
      <c r="N149" s="28" t="n"/>
    </row>
    <row r="150" ht="18" customHeight="1">
      <c r="A150" s="19" t="inlineStr">
        <is>
          <t>Proyección FEBRERO</t>
        </is>
      </c>
      <c r="B150" s="20" t="n">
        <v>1158184</v>
      </c>
    </row>
    <row r="151" ht="18" customHeight="1"/>
    <row r="152" ht="18" customHeight="1"/>
    <row r="153" ht="24" customHeight="1">
      <c r="A153" s="277" t="inlineStr">
        <is>
          <t>MARZO 2026</t>
        </is>
      </c>
    </row>
    <row r="154" ht="18" customHeight="1">
      <c r="A154" s="278" t="inlineStr">
        <is>
          <t>CONCEPTO</t>
        </is>
      </c>
      <c r="B154" s="5" t="inlineStr">
        <is>
          <t>TOTAL ($)</t>
        </is>
      </c>
      <c r="C154" s="5" t="inlineStr">
        <is>
          <t>TOP 1</t>
        </is>
      </c>
      <c r="D154" s="5" t="inlineStr">
        <is>
          <t>TOP 2</t>
        </is>
      </c>
      <c r="E154" s="5" t="inlineStr">
        <is>
          <t>TOP 3</t>
        </is>
      </c>
      <c r="F154" s="5" t="inlineStr">
        <is>
          <t>TOP 4</t>
        </is>
      </c>
      <c r="G154" s="5" t="inlineStr">
        <is>
          <t>TOP 5</t>
        </is>
      </c>
      <c r="H154" s="5" t="inlineStr">
        <is>
          <t>% TOP 1</t>
        </is>
      </c>
      <c r="I154" s="5" t="inlineStr">
        <is>
          <t>% TOP 2</t>
        </is>
      </c>
      <c r="J154" s="5" t="inlineStr">
        <is>
          <t>% TOP 3</t>
        </is>
      </c>
      <c r="K154" s="5" t="inlineStr">
        <is>
          <t>% TOP 4</t>
        </is>
      </c>
      <c r="L154" s="5" t="inlineStr">
        <is>
          <t>% TOP 5</t>
        </is>
      </c>
      <c r="M154" s="5" t="inlineStr">
        <is>
          <t>% ACUM.</t>
        </is>
      </c>
    </row>
    <row r="155" ht="18" customHeight="1">
      <c r="A155" s="279" t="inlineStr">
        <is>
          <t>DATOS GENERALES</t>
        </is>
      </c>
      <c r="B155" s="28" t="n"/>
      <c r="C155" s="28" t="n"/>
      <c r="D155" s="28" t="n"/>
      <c r="E155" s="28" t="n"/>
      <c r="F155" s="28" t="n"/>
      <c r="G155" s="28" t="n"/>
      <c r="H155" s="28" t="n"/>
      <c r="I155" s="28" t="n"/>
      <c r="J155" s="28" t="n"/>
      <c r="K155" s="28" t="n"/>
      <c r="L155" s="28" t="n"/>
      <c r="M155" s="28" t="n"/>
      <c r="N155" s="28" t="n"/>
    </row>
    <row r="156" ht="18" customHeight="1">
      <c r="A156" s="278" t="inlineStr">
        <is>
          <t>Mes</t>
        </is>
      </c>
      <c r="B156" s="9" t="inlineStr">
        <is>
          <t>MARZO</t>
        </is>
      </c>
      <c r="E156" s="8" t="inlineStr">
        <is>
          <t>Año</t>
        </is>
      </c>
      <c r="F156" s="9" t="inlineStr">
        <is>
          <t>2026</t>
        </is>
      </c>
    </row>
    <row r="157" ht="18" customHeight="1">
      <c r="A157" s="278" t="inlineStr">
        <is>
          <t>Fecha de corte</t>
        </is>
      </c>
      <c r="B157" s="10" t="n"/>
      <c r="E157" s="8" t="inlineStr">
        <is>
          <t>Elaboró</t>
        </is>
      </c>
      <c r="F157" s="10" t="n"/>
    </row>
    <row r="158" ht="18" customHeight="1">
      <c r="A158" s="278" t="inlineStr">
        <is>
          <t>Reportado por</t>
        </is>
      </c>
      <c r="B158" s="10" t="n"/>
      <c r="E158" s="8" t="inlineStr">
        <is>
          <t>Cargo</t>
        </is>
      </c>
      <c r="F158" s="10" t="n"/>
    </row>
    <row r="159" ht="18" customHeight="1"/>
    <row r="160" ht="18" customHeight="1">
      <c r="A160" s="280" t="inlineStr">
        <is>
          <t>COBRANZA CORRIENTE</t>
        </is>
      </c>
      <c r="B160" s="28" t="n"/>
      <c r="C160" s="28" t="n"/>
      <c r="D160" s="28" t="n"/>
      <c r="E160" s="28" t="n"/>
      <c r="F160" s="28" t="n"/>
      <c r="G160" s="28" t="n"/>
      <c r="H160" s="28" t="n"/>
      <c r="I160" s="28" t="n"/>
      <c r="J160" s="28" t="n"/>
      <c r="K160" s="28" t="n"/>
      <c r="L160" s="28" t="n"/>
      <c r="M160" s="28" t="n"/>
      <c r="N160" s="28" t="n"/>
    </row>
    <row r="161" ht="18" customHeight="1">
      <c r="A161" s="281" t="inlineStr">
        <is>
          <t>Total</t>
        </is>
      </c>
      <c r="B161" s="282" t="n">
        <v>1503969</v>
      </c>
    </row>
    <row r="162" ht="18" customHeight="1">
      <c r="A162" s="283" t="inlineStr">
        <is>
          <t>Top 5</t>
        </is>
      </c>
      <c r="C162" s="284" t="n"/>
      <c r="D162" s="284" t="n"/>
      <c r="E162" s="284" t="n"/>
      <c r="F162" s="284" t="n"/>
      <c r="G162" s="284" t="n"/>
      <c r="H162" s="13" t="n"/>
      <c r="I162" s="13" t="n"/>
      <c r="J162" s="13" t="n"/>
      <c r="K162" s="13" t="n"/>
      <c r="L162" s="13" t="n"/>
      <c r="M162" s="13" t="n"/>
      <c r="N162" s="13" t="n"/>
    </row>
    <row r="163" ht="18" customHeight="1">
      <c r="A163" s="285" t="inlineStr">
        <is>
          <t>1er</t>
        </is>
      </c>
      <c r="B163" s="286" t="n">
        <v>324822</v>
      </c>
      <c r="C163" s="287" t="inlineStr">
        <is>
          <t>V1</t>
        </is>
      </c>
      <c r="D163" s="287" t="n"/>
      <c r="E163" s="287" t="n"/>
      <c r="F163" s="287" t="n"/>
      <c r="G163" s="287" t="n"/>
      <c r="H163" s="15" t="n"/>
      <c r="I163" s="15" t="n"/>
      <c r="J163" s="15" t="n"/>
      <c r="K163" s="15" t="n"/>
      <c r="L163" s="15" t="n"/>
      <c r="M163" s="15" t="n"/>
      <c r="N163" s="15" t="n"/>
    </row>
    <row r="164" ht="18" customHeight="1">
      <c r="A164" s="285" t="inlineStr">
        <is>
          <t>2o</t>
        </is>
      </c>
      <c r="B164" s="286" t="n">
        <v>293341</v>
      </c>
      <c r="C164" s="287" t="n"/>
      <c r="D164" s="287" t="inlineStr">
        <is>
          <t>V6</t>
        </is>
      </c>
      <c r="E164" s="287" t="n"/>
      <c r="F164" s="287" t="n"/>
      <c r="G164" s="287" t="n"/>
      <c r="H164" s="15" t="n"/>
      <c r="I164" s="15" t="n"/>
      <c r="J164" s="15" t="n"/>
      <c r="K164" s="15" t="n"/>
      <c r="L164" s="15" t="n"/>
      <c r="M164" s="15" t="n"/>
      <c r="N164" s="15" t="n"/>
    </row>
    <row r="165" ht="18" customHeight="1">
      <c r="A165" s="285" t="inlineStr">
        <is>
          <t>3er</t>
        </is>
      </c>
      <c r="B165" s="286" t="n">
        <v>193535</v>
      </c>
      <c r="C165" s="287" t="n"/>
      <c r="D165" s="287" t="n"/>
      <c r="E165" s="287" t="inlineStr">
        <is>
          <t>V38</t>
        </is>
      </c>
      <c r="F165" s="287" t="n"/>
      <c r="G165" s="287" t="n"/>
      <c r="H165" s="15" t="n"/>
      <c r="I165" s="15" t="n"/>
      <c r="J165" s="15" t="n"/>
      <c r="K165" s="15" t="n"/>
      <c r="L165" s="15" t="n"/>
      <c r="M165" s="15" t="n"/>
      <c r="N165" s="15" t="n"/>
    </row>
    <row r="166" ht="18" customHeight="1">
      <c r="A166" s="285" t="inlineStr">
        <is>
          <t>4o</t>
        </is>
      </c>
      <c r="B166" s="286" t="n">
        <v>175043</v>
      </c>
      <c r="C166" s="287" t="n"/>
      <c r="D166" s="287" t="n"/>
      <c r="E166" s="287" t="n"/>
      <c r="F166" s="287" t="inlineStr">
        <is>
          <t>V39</t>
        </is>
      </c>
      <c r="G166" s="287" t="n"/>
      <c r="H166" s="15" t="n"/>
      <c r="I166" s="15" t="n"/>
      <c r="J166" s="15" t="n"/>
      <c r="K166" s="15" t="n"/>
      <c r="L166" s="15" t="n"/>
      <c r="M166" s="15" t="n"/>
      <c r="N166" s="15" t="n"/>
    </row>
    <row r="167" ht="18" customHeight="1">
      <c r="A167" s="285" t="inlineStr">
        <is>
          <t>5o</t>
        </is>
      </c>
      <c r="B167" s="286" t="n">
        <v>126905</v>
      </c>
      <c r="C167" s="287" t="n"/>
      <c r="D167" s="287" t="n"/>
      <c r="E167" s="287" t="n"/>
      <c r="F167" s="287" t="n"/>
      <c r="G167" s="287" t="inlineStr">
        <is>
          <t>V27</t>
        </is>
      </c>
      <c r="H167" s="15" t="n"/>
      <c r="I167" s="15" t="n"/>
      <c r="J167" s="15" t="n"/>
      <c r="K167" s="15" t="n"/>
      <c r="L167" s="15" t="n"/>
      <c r="M167" s="15" t="n"/>
      <c r="N167" s="15" t="n"/>
    </row>
    <row r="168" ht="18" customHeight="1"/>
    <row r="169" ht="18" customHeight="1">
      <c r="A169" s="280" t="inlineStr">
        <is>
          <t>CANCELACIONES</t>
        </is>
      </c>
      <c r="B169" s="28" t="n"/>
      <c r="C169" s="28" t="n"/>
      <c r="D169" s="28" t="n"/>
      <c r="E169" s="28" t="n"/>
      <c r="F169" s="28" t="n"/>
      <c r="G169" s="28" t="n"/>
      <c r="H169" s="28" t="n"/>
      <c r="I169" s="28" t="n"/>
      <c r="J169" s="28" t="n"/>
      <c r="K169" s="28" t="n"/>
      <c r="L169" s="28" t="n"/>
      <c r="M169" s="28" t="n"/>
      <c r="N169" s="28" t="n"/>
    </row>
    <row r="170" ht="18" customHeight="1">
      <c r="A170" s="281" t="inlineStr">
        <is>
          <t>Total</t>
        </is>
      </c>
      <c r="B170" s="282" t="n">
        <v>106825</v>
      </c>
    </row>
    <row r="171" ht="18" customHeight="1">
      <c r="A171" s="283" t="inlineStr">
        <is>
          <t>Top 5</t>
        </is>
      </c>
      <c r="C171" s="284" t="n"/>
      <c r="D171" s="284" t="n"/>
      <c r="E171" s="284" t="n"/>
      <c r="F171" s="284" t="n"/>
      <c r="G171" s="284" t="n"/>
      <c r="H171" s="13" t="n"/>
      <c r="I171" s="13" t="n"/>
      <c r="J171" s="13" t="n"/>
      <c r="K171" s="13" t="n"/>
      <c r="L171" s="13" t="n"/>
      <c r="M171" s="13" t="n"/>
      <c r="N171" s="13" t="n"/>
    </row>
    <row r="172" ht="18" customHeight="1">
      <c r="A172" s="285" t="inlineStr">
        <is>
          <t>1er</t>
        </is>
      </c>
      <c r="B172" s="286" t="n">
        <v>19788</v>
      </c>
      <c r="C172" s="287" t="inlineStr">
        <is>
          <t>V1</t>
        </is>
      </c>
      <c r="D172" s="287" t="n"/>
      <c r="E172" s="287" t="n"/>
      <c r="F172" s="287" t="n"/>
      <c r="G172" s="287" t="n"/>
      <c r="H172" s="15" t="n"/>
      <c r="I172" s="15" t="n"/>
      <c r="J172" s="15" t="n"/>
      <c r="K172" s="15" t="n"/>
      <c r="L172" s="15" t="n"/>
      <c r="M172" s="15" t="n"/>
      <c r="N172" s="15" t="n"/>
    </row>
    <row r="173" ht="18" customHeight="1">
      <c r="A173" s="285" t="inlineStr">
        <is>
          <t>2o</t>
        </is>
      </c>
      <c r="B173" s="286" t="n">
        <v>16551</v>
      </c>
      <c r="C173" s="287" t="n"/>
      <c r="D173" s="287" t="inlineStr">
        <is>
          <t>V38</t>
        </is>
      </c>
      <c r="E173" s="287" t="n"/>
      <c r="F173" s="287" t="n"/>
      <c r="G173" s="287" t="n"/>
      <c r="H173" s="15" t="n"/>
      <c r="I173" s="15" t="n"/>
      <c r="J173" s="15" t="n"/>
      <c r="K173" s="15" t="n"/>
      <c r="L173" s="15" t="n"/>
      <c r="M173" s="15" t="n"/>
      <c r="N173" s="15" t="n"/>
    </row>
    <row r="174" ht="18" customHeight="1">
      <c r="A174" s="285" t="inlineStr">
        <is>
          <t>3er</t>
        </is>
      </c>
      <c r="B174" s="286" t="n">
        <v>15166</v>
      </c>
      <c r="C174" s="287" t="n"/>
      <c r="D174" s="287" t="n"/>
      <c r="E174" s="287" t="inlineStr">
        <is>
          <t>V6</t>
        </is>
      </c>
      <c r="F174" s="287" t="n"/>
      <c r="G174" s="287" t="n"/>
      <c r="H174" s="15" t="n"/>
      <c r="I174" s="15" t="n"/>
      <c r="J174" s="15" t="n"/>
      <c r="K174" s="15" t="n"/>
      <c r="L174" s="15" t="n"/>
      <c r="M174" s="15" t="n"/>
      <c r="N174" s="15" t="n"/>
    </row>
    <row r="175" ht="18" customHeight="1">
      <c r="A175" s="285" t="inlineStr">
        <is>
          <t>4o</t>
        </is>
      </c>
      <c r="B175" s="286" t="n">
        <v>13415</v>
      </c>
      <c r="C175" s="287" t="n"/>
      <c r="D175" s="287" t="n"/>
      <c r="E175" s="287" t="n"/>
      <c r="F175" s="287" t="inlineStr">
        <is>
          <t>V56</t>
        </is>
      </c>
      <c r="G175" s="287" t="n"/>
      <c r="H175" s="15" t="n"/>
      <c r="I175" s="15" t="n"/>
      <c r="J175" s="15" t="n"/>
      <c r="K175" s="15" t="n"/>
      <c r="L175" s="15" t="n"/>
      <c r="M175" s="15" t="n"/>
      <c r="N175" s="15" t="n"/>
    </row>
    <row r="176" ht="18" customHeight="1">
      <c r="A176" s="285" t="inlineStr">
        <is>
          <t>5o</t>
        </is>
      </c>
      <c r="B176" s="286" t="n">
        <v>12616</v>
      </c>
      <c r="C176" s="287" t="n"/>
      <c r="D176" s="287" t="n"/>
      <c r="E176" s="287" t="n"/>
      <c r="F176" s="287" t="n"/>
      <c r="G176" s="287" t="inlineStr">
        <is>
          <t>V84</t>
        </is>
      </c>
      <c r="H176" s="15" t="n"/>
      <c r="I176" s="15" t="n"/>
      <c r="J176" s="15" t="n"/>
      <c r="K176" s="15" t="n"/>
      <c r="L176" s="15" t="n"/>
      <c r="M176" s="15" t="n"/>
      <c r="N176" s="15" t="n"/>
    </row>
    <row r="177" ht="18" customHeight="1"/>
    <row r="178" ht="18" customHeight="1">
      <c r="A178" s="280" t="inlineStr">
        <is>
          <t>COBRANZA VENCIDA</t>
        </is>
      </c>
      <c r="B178" s="28" t="n"/>
      <c r="C178" s="28" t="n"/>
      <c r="D178" s="28" t="n"/>
      <c r="E178" s="28" t="n"/>
      <c r="F178" s="28" t="n"/>
      <c r="G178" s="28" t="n"/>
      <c r="H178" s="28" t="n"/>
      <c r="I178" s="28" t="n"/>
      <c r="J178" s="28" t="n"/>
      <c r="K178" s="28" t="n"/>
      <c r="L178" s="28" t="n"/>
      <c r="M178" s="28" t="n"/>
      <c r="N178" s="28" t="n"/>
    </row>
    <row r="179" ht="18" customHeight="1">
      <c r="A179" s="281" t="inlineStr">
        <is>
          <t>Total</t>
        </is>
      </c>
      <c r="B179" s="282" t="n">
        <v>145938</v>
      </c>
    </row>
    <row r="180" ht="18" customHeight="1">
      <c r="A180" s="283" t="inlineStr">
        <is>
          <t>Top 5</t>
        </is>
      </c>
      <c r="C180" s="284" t="n"/>
      <c r="D180" s="284" t="n"/>
      <c r="E180" s="284" t="n"/>
      <c r="F180" s="284" t="n"/>
      <c r="G180" s="284" t="n"/>
      <c r="H180" s="13" t="n"/>
      <c r="I180" s="13" t="n"/>
      <c r="J180" s="13" t="n"/>
      <c r="K180" s="13" t="n"/>
      <c r="L180" s="13" t="n"/>
      <c r="M180" s="13" t="n"/>
      <c r="N180" s="13" t="n"/>
    </row>
    <row r="181" ht="18" customHeight="1">
      <c r="A181" s="285" t="inlineStr">
        <is>
          <t>1er</t>
        </is>
      </c>
      <c r="B181" s="286" t="n">
        <v>30632</v>
      </c>
      <c r="C181" s="287" t="inlineStr">
        <is>
          <t>V39</t>
        </is>
      </c>
      <c r="D181" s="287" t="n"/>
      <c r="E181" s="287" t="n"/>
      <c r="F181" s="287" t="n"/>
      <c r="G181" s="287" t="n"/>
      <c r="H181" s="15" t="n"/>
      <c r="I181" s="15" t="n"/>
      <c r="J181" s="15" t="n"/>
      <c r="K181" s="15" t="n"/>
      <c r="L181" s="15" t="n"/>
      <c r="M181" s="15" t="n"/>
      <c r="N181" s="15" t="n"/>
    </row>
    <row r="182" ht="18" customHeight="1">
      <c r="A182" s="285" t="inlineStr">
        <is>
          <t>2o</t>
        </is>
      </c>
      <c r="B182" s="286" t="n">
        <v>23081</v>
      </c>
      <c r="C182" s="287" t="n"/>
      <c r="D182" s="287" t="inlineStr">
        <is>
          <t>EDGAR</t>
        </is>
      </c>
      <c r="E182" s="287" t="n"/>
      <c r="F182" s="287" t="n"/>
      <c r="G182" s="287" t="n"/>
      <c r="H182" s="15" t="n"/>
      <c r="I182" s="15" t="n"/>
      <c r="J182" s="15" t="n"/>
      <c r="K182" s="15" t="n"/>
      <c r="L182" s="15" t="n"/>
      <c r="M182" s="15" t="n"/>
      <c r="N182" s="15" t="n"/>
    </row>
    <row r="183" ht="18" customHeight="1">
      <c r="A183" s="285" t="inlineStr">
        <is>
          <t>3er</t>
        </is>
      </c>
      <c r="B183" s="286" t="n">
        <v>22118</v>
      </c>
      <c r="C183" s="287" t="n"/>
      <c r="D183" s="287" t="n"/>
      <c r="E183" s="287" t="inlineStr">
        <is>
          <t>DEPOSITO</t>
        </is>
      </c>
      <c r="F183" s="287" t="n"/>
      <c r="G183" s="287" t="n"/>
      <c r="H183" s="15" t="n"/>
      <c r="I183" s="15" t="n"/>
      <c r="J183" s="15" t="n"/>
      <c r="K183" s="15" t="n"/>
      <c r="L183" s="15" t="n"/>
      <c r="M183" s="15" t="n"/>
      <c r="N183" s="15" t="n"/>
    </row>
    <row r="184" ht="18" customHeight="1">
      <c r="A184" s="285" t="inlineStr">
        <is>
          <t>4o</t>
        </is>
      </c>
      <c r="B184" s="286" t="n">
        <v>21557</v>
      </c>
      <c r="C184" s="287" t="n"/>
      <c r="D184" s="287" t="n"/>
      <c r="E184" s="287" t="n"/>
      <c r="F184" s="287" t="inlineStr">
        <is>
          <t>JORGE</t>
        </is>
      </c>
      <c r="G184" s="287" t="n"/>
      <c r="H184" s="15" t="n"/>
      <c r="I184" s="15" t="n"/>
      <c r="J184" s="15" t="n"/>
      <c r="K184" s="15" t="n"/>
      <c r="L184" s="15" t="n"/>
      <c r="M184" s="15" t="n"/>
      <c r="N184" s="15" t="n"/>
    </row>
    <row r="185" ht="18" customHeight="1">
      <c r="A185" s="285" t="inlineStr">
        <is>
          <t>5o</t>
        </is>
      </c>
      <c r="B185" s="286" t="n">
        <v>12381</v>
      </c>
      <c r="C185" s="287" t="n"/>
      <c r="D185" s="287" t="n"/>
      <c r="E185" s="287" t="n"/>
      <c r="F185" s="287" t="n"/>
      <c r="G185" s="287" t="inlineStr">
        <is>
          <t>FRANCISCO</t>
        </is>
      </c>
      <c r="H185" s="15" t="n"/>
      <c r="I185" s="15" t="n"/>
      <c r="J185" s="15" t="n"/>
      <c r="K185" s="15" t="n"/>
      <c r="L185" s="15" t="n"/>
      <c r="M185" s="15" t="n"/>
      <c r="N185" s="15" t="n"/>
    </row>
    <row r="186" ht="18" customHeight="1"/>
    <row r="187" ht="18" customHeight="1">
      <c r="A187" s="280" t="inlineStr">
        <is>
          <t>COBRANZA EFECTIVA</t>
        </is>
      </c>
      <c r="B187" s="28" t="n"/>
      <c r="C187" s="28" t="n"/>
      <c r="D187" s="28" t="n"/>
      <c r="E187" s="28" t="n"/>
      <c r="F187" s="28" t="n"/>
      <c r="G187" s="28" t="n"/>
      <c r="H187" s="28" t="n"/>
      <c r="I187" s="28" t="n"/>
      <c r="J187" s="28" t="n"/>
      <c r="K187" s="28" t="n"/>
      <c r="L187" s="28" t="n"/>
      <c r="M187" s="28" t="n"/>
      <c r="N187" s="28" t="n"/>
    </row>
    <row r="188" ht="18" customHeight="1">
      <c r="A188" s="281" t="inlineStr">
        <is>
          <t>Total</t>
        </is>
      </c>
      <c r="B188" s="282" t="n">
        <v>1202393</v>
      </c>
    </row>
    <row r="189" ht="18" customHeight="1">
      <c r="A189" s="283" t="inlineStr">
        <is>
          <t>Top 5</t>
        </is>
      </c>
      <c r="C189" s="284" t="n"/>
      <c r="D189" s="284" t="n"/>
      <c r="E189" s="284" t="n"/>
      <c r="F189" s="284" t="n"/>
      <c r="G189" s="284" t="n"/>
      <c r="H189" s="13" t="n"/>
      <c r="I189" s="13" t="n"/>
      <c r="J189" s="13" t="n"/>
      <c r="K189" s="13" t="n"/>
      <c r="L189" s="13" t="n"/>
      <c r="M189" s="13" t="n"/>
      <c r="N189" s="13" t="n"/>
    </row>
    <row r="190" ht="18" customHeight="1">
      <c r="A190" s="285" t="inlineStr">
        <is>
          <t>1er</t>
        </is>
      </c>
      <c r="B190" s="286" t="n">
        <v>199444</v>
      </c>
      <c r="C190" s="287" t="inlineStr">
        <is>
          <t>EDGAR</t>
        </is>
      </c>
      <c r="D190" s="287" t="n"/>
      <c r="E190" s="287" t="n"/>
      <c r="F190" s="287" t="n"/>
      <c r="G190" s="287" t="n"/>
      <c r="H190" s="15" t="n"/>
      <c r="I190" s="15" t="n"/>
      <c r="J190" s="15" t="n"/>
      <c r="K190" s="15" t="n"/>
      <c r="L190" s="15" t="n"/>
      <c r="M190" s="15" t="n"/>
      <c r="N190" s="15" t="n"/>
    </row>
    <row r="191" ht="18" customHeight="1">
      <c r="A191" s="285" t="inlineStr">
        <is>
          <t>2o</t>
        </is>
      </c>
      <c r="B191" s="286" t="n">
        <v>168196</v>
      </c>
      <c r="C191" s="287" t="n"/>
      <c r="D191" s="287" t="inlineStr">
        <is>
          <t>DEPOSITO</t>
        </is>
      </c>
      <c r="E191" s="287" t="n"/>
      <c r="F191" s="287" t="n"/>
      <c r="G191" s="287" t="n"/>
      <c r="H191" s="15" t="n"/>
      <c r="I191" s="15" t="n"/>
      <c r="J191" s="15" t="n"/>
      <c r="K191" s="15" t="n"/>
      <c r="L191" s="15" t="n"/>
      <c r="M191" s="15" t="n"/>
      <c r="N191" s="15" t="n"/>
    </row>
    <row r="192" ht="18" customHeight="1">
      <c r="A192" s="285" t="inlineStr">
        <is>
          <t>3er</t>
        </is>
      </c>
      <c r="B192" s="286" t="n">
        <v>118908</v>
      </c>
      <c r="C192" s="287" t="n"/>
      <c r="D192" s="287" t="n"/>
      <c r="E192" s="287" t="inlineStr">
        <is>
          <t>V1</t>
        </is>
      </c>
      <c r="F192" s="287" t="n"/>
      <c r="G192" s="287" t="n"/>
      <c r="H192" s="15" t="n"/>
      <c r="I192" s="15" t="n"/>
      <c r="J192" s="15" t="n"/>
      <c r="K192" s="15" t="n"/>
      <c r="L192" s="15" t="n"/>
      <c r="M192" s="15" t="n"/>
      <c r="N192" s="15" t="n"/>
    </row>
    <row r="193" ht="18" customHeight="1">
      <c r="A193" s="285" t="inlineStr">
        <is>
          <t>4o</t>
        </is>
      </c>
      <c r="B193" s="286" t="n">
        <v>113756</v>
      </c>
      <c r="C193" s="287" t="n"/>
      <c r="D193" s="287" t="n"/>
      <c r="E193" s="287" t="n"/>
      <c r="F193" s="287" t="inlineStr">
        <is>
          <t>JORGE</t>
        </is>
      </c>
      <c r="G193" s="287" t="n"/>
      <c r="H193" s="15" t="n"/>
      <c r="I193" s="15" t="n"/>
      <c r="J193" s="15" t="n"/>
      <c r="K193" s="15" t="n"/>
      <c r="L193" s="15" t="n"/>
      <c r="M193" s="15" t="n"/>
      <c r="N193" s="15" t="n"/>
    </row>
    <row r="194" ht="18" customHeight="1">
      <c r="A194" s="285" t="inlineStr">
        <is>
          <t>5o</t>
        </is>
      </c>
      <c r="B194" s="286" t="n">
        <v>95792</v>
      </c>
      <c r="C194" s="287" t="n"/>
      <c r="D194" s="287" t="n"/>
      <c r="E194" s="287" t="n"/>
      <c r="F194" s="287" t="n"/>
      <c r="G194" s="287" t="inlineStr">
        <is>
          <t>FRANCISCO</t>
        </is>
      </c>
      <c r="H194" s="15" t="n"/>
      <c r="I194" s="15" t="n"/>
      <c r="J194" s="15" t="n"/>
      <c r="K194" s="15" t="n"/>
      <c r="L194" s="15" t="n"/>
      <c r="M194" s="15" t="n"/>
      <c r="N194" s="15" t="n"/>
    </row>
    <row r="195" ht="18" customHeight="1"/>
    <row r="196" ht="18" customHeight="1">
      <c r="A196" s="280" t="inlineStr">
        <is>
          <t>COBRANZA RECUPERADA</t>
        </is>
      </c>
      <c r="B196" s="28" t="n"/>
      <c r="C196" s="28" t="n"/>
      <c r="D196" s="28" t="n"/>
      <c r="E196" s="28" t="n"/>
      <c r="F196" s="28" t="n"/>
      <c r="G196" s="28" t="n"/>
      <c r="H196" s="28" t="n"/>
      <c r="I196" s="28" t="n"/>
      <c r="J196" s="28" t="n"/>
      <c r="K196" s="28" t="n"/>
      <c r="L196" s="28" t="n"/>
      <c r="M196" s="28" t="n"/>
      <c r="N196" s="28" t="n"/>
    </row>
    <row r="197" ht="18" customHeight="1">
      <c r="A197" s="281" t="inlineStr">
        <is>
          <t>Total</t>
        </is>
      </c>
      <c r="B197" s="282" t="n">
        <v>180788</v>
      </c>
    </row>
    <row r="198" ht="18" customHeight="1">
      <c r="A198" s="283" t="inlineStr">
        <is>
          <t>Top 5</t>
        </is>
      </c>
      <c r="C198" s="284" t="n"/>
      <c r="D198" s="284" t="n"/>
      <c r="E198" s="284" t="n"/>
      <c r="F198" s="284" t="n"/>
      <c r="G198" s="284" t="n"/>
      <c r="H198" s="13" t="n"/>
      <c r="I198" s="13" t="n"/>
      <c r="J198" s="13" t="n"/>
      <c r="K198" s="13" t="n"/>
      <c r="L198" s="13" t="n"/>
      <c r="M198" s="13" t="n"/>
      <c r="N198" s="13" t="n"/>
    </row>
    <row r="199" ht="18" customHeight="1">
      <c r="A199" s="285" t="inlineStr">
        <is>
          <t>1er</t>
        </is>
      </c>
      <c r="B199" s="286" t="n">
        <v>39900</v>
      </c>
      <c r="C199" s="287" t="inlineStr">
        <is>
          <t>V39</t>
        </is>
      </c>
      <c r="D199" s="287" t="n"/>
      <c r="E199" s="287" t="n"/>
      <c r="F199" s="287" t="n"/>
      <c r="G199" s="287" t="n"/>
      <c r="H199" s="15" t="n"/>
      <c r="I199" s="15" t="n"/>
      <c r="J199" s="15" t="n"/>
      <c r="K199" s="15" t="n"/>
      <c r="L199" s="15" t="n"/>
      <c r="M199" s="15" t="n"/>
      <c r="N199" s="15" t="n"/>
    </row>
    <row r="200" ht="18" customHeight="1">
      <c r="A200" s="285" t="inlineStr">
        <is>
          <t>2o</t>
        </is>
      </c>
      <c r="B200" s="286" t="n">
        <v>30129</v>
      </c>
      <c r="C200" s="287" t="n"/>
      <c r="D200" s="287" t="inlineStr">
        <is>
          <t>JORGE</t>
        </is>
      </c>
      <c r="E200" s="287" t="n"/>
      <c r="F200" s="287" t="n"/>
      <c r="G200" s="287" t="n"/>
      <c r="H200" s="15" t="n"/>
      <c r="I200" s="15" t="n"/>
      <c r="J200" s="15" t="n"/>
      <c r="K200" s="15" t="n"/>
      <c r="L200" s="15" t="n"/>
      <c r="M200" s="15" t="n"/>
      <c r="N200" s="15" t="n"/>
    </row>
    <row r="201" ht="18" customHeight="1">
      <c r="A201" s="285" t="inlineStr">
        <is>
          <t>3er</t>
        </is>
      </c>
      <c r="B201" s="286" t="n">
        <v>28947</v>
      </c>
      <c r="C201" s="287" t="n"/>
      <c r="D201" s="287" t="n"/>
      <c r="E201" s="287" t="inlineStr">
        <is>
          <t>EDGAR</t>
        </is>
      </c>
      <c r="F201" s="287" t="n"/>
      <c r="G201" s="287" t="n"/>
      <c r="H201" s="15" t="n"/>
      <c r="I201" s="15" t="n"/>
      <c r="J201" s="15" t="n"/>
      <c r="K201" s="15" t="n"/>
      <c r="L201" s="15" t="n"/>
      <c r="M201" s="15" t="n"/>
      <c r="N201" s="15" t="n"/>
    </row>
    <row r="202" ht="18" customHeight="1">
      <c r="A202" s="285" t="inlineStr">
        <is>
          <t>4o</t>
        </is>
      </c>
      <c r="B202" s="286" t="n">
        <v>22542</v>
      </c>
      <c r="C202" s="287" t="n"/>
      <c r="D202" s="287" t="n"/>
      <c r="E202" s="287" t="n"/>
      <c r="F202" s="287" t="inlineStr">
        <is>
          <t>FRANCISCO</t>
        </is>
      </c>
      <c r="G202" s="287" t="n"/>
      <c r="H202" s="15" t="n"/>
      <c r="I202" s="15" t="n"/>
      <c r="J202" s="15" t="n"/>
      <c r="K202" s="15" t="n"/>
      <c r="L202" s="15" t="n"/>
      <c r="M202" s="15" t="n"/>
      <c r="N202" s="15" t="n"/>
    </row>
    <row r="203" ht="18" customHeight="1">
      <c r="A203" s="285" t="inlineStr">
        <is>
          <t>5o</t>
        </is>
      </c>
      <c r="B203" s="286" t="n">
        <v>13930</v>
      </c>
      <c r="C203" s="287" t="n"/>
      <c r="D203" s="287" t="n"/>
      <c r="E203" s="287" t="n"/>
      <c r="F203" s="287" t="n"/>
      <c r="G203" s="287" t="inlineStr">
        <is>
          <t>DEPOSITO</t>
        </is>
      </c>
      <c r="H203" s="15" t="n"/>
      <c r="I203" s="15" t="n"/>
      <c r="J203" s="15" t="n"/>
      <c r="K203" s="15" t="n"/>
      <c r="L203" s="15" t="n"/>
      <c r="M203" s="15" t="n"/>
      <c r="N203" s="15" t="n"/>
    </row>
    <row r="204" ht="18" customHeight="1"/>
    <row r="205" ht="18" customHeight="1">
      <c r="A205" s="280" t="inlineStr">
        <is>
          <t>COBRANZA TOTAL GENERAL</t>
        </is>
      </c>
      <c r="B205" s="28" t="n"/>
      <c r="C205" s="28" t="n"/>
      <c r="D205" s="28" t="n"/>
      <c r="E205" s="28" t="n"/>
      <c r="F205" s="28" t="n"/>
      <c r="G205" s="28" t="n"/>
      <c r="H205" s="28" t="n"/>
      <c r="I205" s="28" t="n"/>
      <c r="J205" s="28" t="n"/>
      <c r="K205" s="28" t="n"/>
      <c r="L205" s="28" t="n"/>
      <c r="M205" s="28" t="n"/>
      <c r="N205" s="28" t="n"/>
    </row>
    <row r="206" ht="18" customHeight="1">
      <c r="A206" s="281" t="inlineStr">
        <is>
          <t>Total</t>
        </is>
      </c>
      <c r="B206" s="282" t="n">
        <v>1433162</v>
      </c>
    </row>
    <row r="207" ht="18" customHeight="1">
      <c r="A207" s="283" t="inlineStr">
        <is>
          <t>Top 5</t>
        </is>
      </c>
      <c r="C207" s="284" t="n"/>
      <c r="D207" s="284" t="n"/>
      <c r="E207" s="284" t="n"/>
      <c r="F207" s="284" t="n"/>
      <c r="G207" s="284" t="n"/>
      <c r="H207" s="13" t="n"/>
      <c r="I207" s="13" t="n"/>
      <c r="J207" s="13" t="n"/>
      <c r="K207" s="13" t="n"/>
      <c r="L207" s="13" t="n"/>
      <c r="M207" s="13" t="n"/>
      <c r="N207" s="13" t="n"/>
    </row>
    <row r="208" ht="18" customHeight="1">
      <c r="A208" s="285" t="inlineStr">
        <is>
          <t>1er</t>
        </is>
      </c>
      <c r="B208" s="286" t="n">
        <v>234290</v>
      </c>
      <c r="C208" s="287" t="inlineStr">
        <is>
          <t>EDGAR</t>
        </is>
      </c>
      <c r="D208" s="287" t="n"/>
      <c r="E208" s="287" t="n"/>
      <c r="F208" s="287" t="n"/>
      <c r="G208" s="287" t="n"/>
      <c r="H208" s="15" t="n"/>
      <c r="I208" s="15" t="n"/>
      <c r="J208" s="15" t="n"/>
      <c r="K208" s="15" t="n"/>
      <c r="L208" s="15" t="n"/>
      <c r="M208" s="15" t="n"/>
      <c r="N208" s="15" t="n"/>
    </row>
    <row r="209" ht="18" customHeight="1">
      <c r="A209" s="285" t="inlineStr">
        <is>
          <t>2o</t>
        </is>
      </c>
      <c r="B209" s="286" t="n">
        <v>196468</v>
      </c>
      <c r="C209" s="287" t="n"/>
      <c r="D209" s="287" t="inlineStr">
        <is>
          <t>DEPOSITO</t>
        </is>
      </c>
      <c r="E209" s="287" t="n"/>
      <c r="F209" s="287" t="n"/>
      <c r="G209" s="287" t="n"/>
      <c r="H209" s="15" t="n"/>
      <c r="I209" s="15" t="n"/>
      <c r="J209" s="15" t="n"/>
      <c r="K209" s="15" t="n"/>
      <c r="L209" s="15" t="n"/>
      <c r="M209" s="15" t="n"/>
      <c r="N209" s="15" t="n"/>
    </row>
    <row r="210" ht="18" customHeight="1">
      <c r="A210" s="285" t="inlineStr">
        <is>
          <t>3er</t>
        </is>
      </c>
      <c r="B210" s="286" t="n">
        <v>143885</v>
      </c>
      <c r="C210" s="287" t="n"/>
      <c r="D210" s="287" t="n"/>
      <c r="E210" s="287" t="inlineStr">
        <is>
          <t>JORGE</t>
        </is>
      </c>
      <c r="F210" s="287" t="n"/>
      <c r="G210" s="287" t="n"/>
      <c r="H210" s="15" t="n"/>
      <c r="I210" s="15" t="n"/>
      <c r="J210" s="15" t="n"/>
      <c r="K210" s="15" t="n"/>
      <c r="L210" s="15" t="n"/>
      <c r="M210" s="15" t="n"/>
      <c r="N210" s="15" t="n"/>
    </row>
    <row r="211" ht="18" customHeight="1">
      <c r="A211" s="285" t="inlineStr">
        <is>
          <t>4o</t>
        </is>
      </c>
      <c r="B211" s="286" t="n">
        <v>129918</v>
      </c>
      <c r="C211" s="287" t="n"/>
      <c r="D211" s="287" t="n"/>
      <c r="E211" s="287" t="n"/>
      <c r="F211" s="287" t="inlineStr">
        <is>
          <t>V1</t>
        </is>
      </c>
      <c r="G211" s="287" t="n"/>
      <c r="H211" s="15" t="n"/>
      <c r="I211" s="15" t="n"/>
      <c r="J211" s="15" t="n"/>
      <c r="K211" s="15" t="n"/>
      <c r="L211" s="15" t="n"/>
      <c r="M211" s="15" t="n"/>
      <c r="N211" s="15" t="n"/>
    </row>
    <row r="212" ht="18" customHeight="1">
      <c r="A212" s="285" t="inlineStr">
        <is>
          <t>5o</t>
        </is>
      </c>
      <c r="B212" s="286" t="n">
        <v>119867</v>
      </c>
      <c r="C212" s="287" t="n"/>
      <c r="D212" s="287" t="n"/>
      <c r="E212" s="287" t="n"/>
      <c r="F212" s="287" t="n"/>
      <c r="G212" s="287" t="inlineStr">
        <is>
          <t>FRANCISCO</t>
        </is>
      </c>
      <c r="H212" s="15" t="n"/>
      <c r="I212" s="15" t="n"/>
      <c r="J212" s="15" t="n"/>
      <c r="K212" s="15" t="n"/>
      <c r="L212" s="15" t="n"/>
      <c r="M212" s="15" t="n"/>
      <c r="N212" s="15" t="n"/>
    </row>
    <row r="213" ht="18" customHeight="1"/>
    <row r="214" ht="18" customHeight="1">
      <c r="A214" s="280" t="inlineStr">
        <is>
          <t>COBRANZA ADELANTADA F.</t>
        </is>
      </c>
      <c r="B214" s="28" t="n"/>
      <c r="C214" s="28" t="n"/>
      <c r="D214" s="28" t="n"/>
      <c r="E214" s="28" t="n"/>
      <c r="F214" s="28" t="n"/>
      <c r="G214" s="28" t="n"/>
      <c r="H214" s="28" t="n"/>
      <c r="I214" s="28" t="n"/>
      <c r="J214" s="28" t="n"/>
      <c r="K214" s="28" t="n"/>
      <c r="L214" s="28" t="n"/>
      <c r="M214" s="28" t="n"/>
      <c r="N214" s="28" t="n"/>
    </row>
    <row r="215" ht="18" customHeight="1">
      <c r="A215" s="281" t="inlineStr">
        <is>
          <t>Total</t>
        </is>
      </c>
      <c r="B215" s="282" t="n">
        <v>0</v>
      </c>
    </row>
    <row r="216" ht="18" customHeight="1">
      <c r="A216" s="283" t="inlineStr">
        <is>
          <t>Top 5</t>
        </is>
      </c>
      <c r="C216" s="284" t="n"/>
      <c r="D216" s="284" t="n"/>
      <c r="E216" s="284" t="n"/>
      <c r="F216" s="284" t="n"/>
      <c r="G216" s="284" t="n"/>
      <c r="H216" s="13" t="n"/>
      <c r="I216" s="13" t="n"/>
      <c r="J216" s="13" t="n"/>
      <c r="K216" s="13" t="n"/>
      <c r="L216" s="13" t="n"/>
      <c r="M216" s="13" t="n"/>
      <c r="N216" s="13" t="n"/>
    </row>
    <row r="217" ht="18" customHeight="1">
      <c r="A217" s="285" t="inlineStr">
        <is>
          <t>1er</t>
        </is>
      </c>
      <c r="B217" s="286" t="n"/>
      <c r="C217" s="287" t="n"/>
      <c r="D217" s="287" t="n"/>
      <c r="E217" s="287" t="n"/>
      <c r="F217" s="287" t="n"/>
      <c r="G217" s="287" t="n"/>
      <c r="H217" s="15" t="n"/>
      <c r="I217" s="15" t="n"/>
      <c r="J217" s="15" t="n"/>
      <c r="K217" s="15" t="n"/>
      <c r="L217" s="15" t="n"/>
      <c r="M217" s="15" t="n"/>
      <c r="N217" s="15" t="n"/>
    </row>
    <row r="218" ht="18" customHeight="1">
      <c r="A218" s="285" t="inlineStr">
        <is>
          <t>2o</t>
        </is>
      </c>
      <c r="B218" s="286" t="n"/>
      <c r="C218" s="287" t="n"/>
      <c r="D218" s="287" t="n"/>
      <c r="E218" s="287" t="n"/>
      <c r="F218" s="287" t="n"/>
      <c r="G218" s="287" t="n"/>
      <c r="H218" s="15" t="n"/>
      <c r="I218" s="15" t="n"/>
      <c r="J218" s="15" t="n"/>
      <c r="K218" s="15" t="n"/>
      <c r="L218" s="15" t="n"/>
      <c r="M218" s="15" t="n"/>
      <c r="N218" s="15" t="n"/>
    </row>
    <row r="219" ht="18" customHeight="1">
      <c r="A219" s="285" t="inlineStr">
        <is>
          <t>3er</t>
        </is>
      </c>
      <c r="B219" s="286" t="n"/>
      <c r="C219" s="287" t="n"/>
      <c r="D219" s="287" t="n"/>
      <c r="E219" s="287" t="n"/>
      <c r="F219" s="287" t="n"/>
      <c r="G219" s="287" t="n"/>
      <c r="H219" s="15" t="n"/>
      <c r="I219" s="15" t="n"/>
      <c r="J219" s="15" t="n"/>
      <c r="K219" s="15" t="n"/>
      <c r="L219" s="15" t="n"/>
      <c r="M219" s="15" t="n"/>
      <c r="N219" s="15" t="n"/>
    </row>
    <row r="220" ht="18" customHeight="1">
      <c r="A220" s="285" t="inlineStr">
        <is>
          <t>4o</t>
        </is>
      </c>
      <c r="B220" s="286" t="n"/>
      <c r="C220" s="287" t="n"/>
      <c r="D220" s="287" t="n"/>
      <c r="E220" s="287" t="n"/>
      <c r="F220" s="287" t="n"/>
      <c r="G220" s="287" t="n"/>
      <c r="H220" s="15" t="n"/>
      <c r="I220" s="15" t="n"/>
      <c r="J220" s="15" t="n"/>
      <c r="K220" s="15" t="n"/>
      <c r="L220" s="15" t="n"/>
      <c r="M220" s="15" t="n"/>
      <c r="N220" s="15" t="n"/>
    </row>
    <row r="221" ht="18" customHeight="1">
      <c r="A221" s="285" t="inlineStr">
        <is>
          <t>5o</t>
        </is>
      </c>
      <c r="B221" s="286" t="n"/>
      <c r="C221" s="287" t="n"/>
      <c r="D221" s="287" t="n"/>
      <c r="E221" s="287" t="n"/>
      <c r="F221" s="287" t="n"/>
      <c r="G221" s="287" t="n"/>
      <c r="H221" s="15" t="n"/>
      <c r="I221" s="15" t="n"/>
      <c r="J221" s="15" t="n"/>
      <c r="K221" s="15" t="n"/>
      <c r="L221" s="15" t="n"/>
      <c r="M221" s="15" t="n"/>
      <c r="N221" s="15" t="n"/>
    </row>
    <row r="222" ht="18" customHeight="1"/>
    <row r="223" ht="18" customHeight="1">
      <c r="A223" s="280" t="inlineStr">
        <is>
          <t>PROYECCIÓN MARZO → MARZO</t>
        </is>
      </c>
      <c r="B223" s="28" t="n"/>
      <c r="C223" s="28" t="n"/>
      <c r="D223" s="28" t="n"/>
      <c r="E223" s="28" t="n"/>
      <c r="F223" s="28" t="n"/>
      <c r="G223" s="28" t="n"/>
      <c r="H223" s="28" t="n"/>
      <c r="I223" s="28" t="n"/>
      <c r="J223" s="28" t="n"/>
      <c r="K223" s="28" t="n"/>
      <c r="L223" s="28" t="n"/>
      <c r="M223" s="28" t="n"/>
      <c r="N223" s="28" t="n"/>
    </row>
    <row r="224" ht="18" customHeight="1">
      <c r="A224" s="281" t="inlineStr">
        <is>
          <t>Proyección MARZO</t>
        </is>
      </c>
      <c r="B224" s="282" t="n">
        <v>996614</v>
      </c>
    </row>
    <row r="225" ht="18" customHeight="1"/>
    <row r="226" ht="18" customHeight="1"/>
    <row r="227" ht="24" customHeight="1">
      <c r="A227" s="277" t="inlineStr">
        <is>
          <t>ABRIL 2026</t>
        </is>
      </c>
    </row>
    <row r="228" ht="18" customHeight="1">
      <c r="A228" s="278" t="inlineStr">
        <is>
          <t>CONCEPTO</t>
        </is>
      </c>
      <c r="B228" s="288" t="inlineStr">
        <is>
          <t>TOTAL ($)</t>
        </is>
      </c>
      <c r="C228" s="288" t="inlineStr">
        <is>
          <t>TOP 1</t>
        </is>
      </c>
      <c r="D228" s="288" t="inlineStr">
        <is>
          <t>TOP 2</t>
        </is>
      </c>
      <c r="E228" s="288" t="inlineStr">
        <is>
          <t>TOP 3</t>
        </is>
      </c>
      <c r="F228" s="288" t="inlineStr">
        <is>
          <t>TOP 4</t>
        </is>
      </c>
      <c r="G228" s="288" t="inlineStr">
        <is>
          <t>TOP 5</t>
        </is>
      </c>
      <c r="H228" s="288" t="inlineStr">
        <is>
          <t>% TOP 1</t>
        </is>
      </c>
      <c r="I228" s="288" t="inlineStr">
        <is>
          <t>% TOP 2</t>
        </is>
      </c>
      <c r="J228" s="288" t="inlineStr">
        <is>
          <t>% TOP 3</t>
        </is>
      </c>
      <c r="K228" s="288" t="inlineStr">
        <is>
          <t>% TOP 4</t>
        </is>
      </c>
      <c r="L228" s="288" t="inlineStr">
        <is>
          <t>% TOP 5</t>
        </is>
      </c>
      <c r="M228" s="288" t="inlineStr">
        <is>
          <t>% ACUM.</t>
        </is>
      </c>
    </row>
    <row r="229" ht="18" customHeight="1">
      <c r="A229" s="279" t="inlineStr">
        <is>
          <t>DATOS GENERALES</t>
        </is>
      </c>
      <c r="B229" s="28" t="n"/>
      <c r="C229" s="28" t="n"/>
      <c r="D229" s="28" t="n"/>
      <c r="E229" s="28" t="n"/>
      <c r="F229" s="28" t="n"/>
      <c r="G229" s="28" t="n"/>
      <c r="H229" s="28" t="n"/>
      <c r="I229" s="28" t="n"/>
      <c r="J229" s="28" t="n"/>
      <c r="K229" s="28" t="n"/>
      <c r="L229" s="28" t="n"/>
      <c r="M229" s="28" t="n"/>
      <c r="N229" s="28" t="n"/>
    </row>
    <row r="230" ht="18" customHeight="1">
      <c r="A230" s="278" t="inlineStr">
        <is>
          <t>Mes</t>
        </is>
      </c>
      <c r="B230" s="9" t="inlineStr">
        <is>
          <t>ABRIL</t>
        </is>
      </c>
      <c r="E230" s="8" t="inlineStr">
        <is>
          <t>Año</t>
        </is>
      </c>
      <c r="F230" s="9" t="inlineStr">
        <is>
          <t>2026</t>
        </is>
      </c>
    </row>
    <row r="231" ht="18" customHeight="1">
      <c r="A231" s="278" t="inlineStr">
        <is>
          <t>Fecha de corte</t>
        </is>
      </c>
      <c r="B231" s="10" t="n"/>
      <c r="E231" s="8" t="inlineStr">
        <is>
          <t>Elaboró</t>
        </is>
      </c>
      <c r="F231" s="10" t="n"/>
    </row>
    <row r="232" ht="18" customHeight="1">
      <c r="A232" s="278" t="inlineStr">
        <is>
          <t>Reportado por</t>
        </is>
      </c>
      <c r="B232" s="10" t="n"/>
      <c r="E232" s="8" t="inlineStr">
        <is>
          <t>Cargo</t>
        </is>
      </c>
      <c r="F232" s="10" t="n"/>
    </row>
    <row r="233" ht="18" customHeight="1"/>
    <row r="234" ht="18" customHeight="1">
      <c r="A234" s="280" t="inlineStr">
        <is>
          <t>COBRANZA CORRIENTE</t>
        </is>
      </c>
      <c r="B234" s="28" t="n"/>
      <c r="C234" s="28" t="n"/>
      <c r="D234" s="28" t="n"/>
      <c r="E234" s="28" t="n"/>
      <c r="F234" s="28" t="n"/>
      <c r="G234" s="28" t="n"/>
      <c r="H234" s="28" t="n"/>
      <c r="I234" s="28" t="n"/>
      <c r="J234" s="28" t="n"/>
      <c r="K234" s="28" t="n"/>
      <c r="L234" s="28" t="n"/>
      <c r="M234" s="28" t="n"/>
      <c r="N234" s="28" t="n"/>
    </row>
    <row r="235" ht="18" customHeight="1">
      <c r="A235" s="281" t="inlineStr">
        <is>
          <t>Total</t>
        </is>
      </c>
      <c r="B235" s="282" t="n">
        <v>1333269</v>
      </c>
    </row>
    <row r="236" ht="18" customHeight="1">
      <c r="A236" s="283" t="inlineStr">
        <is>
          <t>Top 5</t>
        </is>
      </c>
      <c r="C236" s="284" t="n"/>
      <c r="D236" s="284" t="n"/>
      <c r="E236" s="284" t="n"/>
      <c r="F236" s="284" t="n"/>
      <c r="G236" s="284" t="n"/>
      <c r="H236" s="13" t="n"/>
      <c r="I236" s="13" t="n"/>
      <c r="J236" s="13" t="n"/>
      <c r="K236" s="13" t="n"/>
      <c r="L236" s="13" t="n"/>
      <c r="M236" s="13" t="n"/>
      <c r="N236" s="13" t="n"/>
    </row>
    <row r="237" ht="18" customHeight="1">
      <c r="A237" s="285" t="inlineStr">
        <is>
          <t>1er</t>
        </is>
      </c>
      <c r="B237" s="286" t="n">
        <v>252756</v>
      </c>
      <c r="C237" s="287" t="inlineStr">
        <is>
          <t>V1</t>
        </is>
      </c>
      <c r="D237" s="287" t="n"/>
      <c r="E237" s="287" t="n"/>
      <c r="F237" s="287" t="n"/>
      <c r="G237" s="287" t="n"/>
      <c r="H237" s="15" t="n"/>
      <c r="I237" s="15" t="n"/>
      <c r="J237" s="15" t="n"/>
      <c r="K237" s="15" t="n"/>
      <c r="L237" s="15" t="n"/>
      <c r="M237" s="15" t="n"/>
      <c r="N237" s="15" t="n"/>
    </row>
    <row r="238" ht="18" customHeight="1">
      <c r="A238" s="285" t="inlineStr">
        <is>
          <t>2o</t>
        </is>
      </c>
      <c r="B238" s="286" t="n">
        <v>232738</v>
      </c>
      <c r="C238" s="287" t="n"/>
      <c r="D238" s="287" t="inlineStr">
        <is>
          <t>V6</t>
        </is>
      </c>
      <c r="E238" s="287" t="n"/>
      <c r="F238" s="287" t="n"/>
      <c r="G238" s="287" t="n"/>
      <c r="H238" s="15" t="n"/>
      <c r="I238" s="15" t="n"/>
      <c r="J238" s="15" t="n"/>
      <c r="K238" s="15" t="n"/>
      <c r="L238" s="15" t="n"/>
      <c r="M238" s="15" t="n"/>
      <c r="N238" s="15" t="n"/>
    </row>
    <row r="239" ht="18" customHeight="1">
      <c r="A239" s="285" t="inlineStr">
        <is>
          <t>3er</t>
        </is>
      </c>
      <c r="B239" s="286" t="n">
        <v>189665</v>
      </c>
      <c r="C239" s="287" t="n"/>
      <c r="D239" s="287" t="n"/>
      <c r="E239" s="287" t="inlineStr">
        <is>
          <t>V39</t>
        </is>
      </c>
      <c r="F239" s="287" t="n"/>
      <c r="G239" s="287" t="n"/>
      <c r="H239" s="15" t="n"/>
      <c r="I239" s="15" t="n"/>
      <c r="J239" s="15" t="n"/>
      <c r="K239" s="15" t="n"/>
      <c r="L239" s="15" t="n"/>
      <c r="M239" s="15" t="n"/>
      <c r="N239" s="15" t="n"/>
    </row>
    <row r="240" ht="18" customHeight="1">
      <c r="A240" s="285" t="inlineStr">
        <is>
          <t>4o</t>
        </is>
      </c>
      <c r="B240" s="286" t="n">
        <v>176792</v>
      </c>
      <c r="C240" s="287" t="n"/>
      <c r="D240" s="287" t="n"/>
      <c r="E240" s="287" t="n"/>
      <c r="F240" s="287" t="inlineStr">
        <is>
          <t>V38</t>
        </is>
      </c>
      <c r="G240" s="287" t="n"/>
      <c r="H240" s="15" t="n"/>
      <c r="I240" s="15" t="n"/>
      <c r="J240" s="15" t="n"/>
      <c r="K240" s="15" t="n"/>
      <c r="L240" s="15" t="n"/>
      <c r="M240" s="15" t="n"/>
      <c r="N240" s="15" t="n"/>
    </row>
    <row r="241" ht="18" customHeight="1">
      <c r="A241" s="285" t="inlineStr">
        <is>
          <t>5o</t>
        </is>
      </c>
      <c r="B241" s="286" t="n">
        <v>104567</v>
      </c>
      <c r="C241" s="287" t="n"/>
      <c r="D241" s="287" t="n"/>
      <c r="E241" s="287" t="n"/>
      <c r="F241" s="287" t="n"/>
      <c r="G241" s="287" t="inlineStr">
        <is>
          <t>V56</t>
        </is>
      </c>
      <c r="H241" s="15" t="n"/>
      <c r="I241" s="15" t="n"/>
      <c r="J241" s="15" t="n"/>
      <c r="K241" s="15" t="n"/>
      <c r="L241" s="15" t="n"/>
      <c r="M241" s="15" t="n"/>
      <c r="N241" s="15" t="n"/>
    </row>
    <row r="242" ht="18" customHeight="1"/>
    <row r="243" ht="18" customHeight="1">
      <c r="A243" s="280" t="inlineStr">
        <is>
          <t>CANCELACIONES</t>
        </is>
      </c>
      <c r="B243" s="28" t="n"/>
      <c r="C243" s="28" t="n"/>
      <c r="D243" s="28" t="n"/>
      <c r="E243" s="28" t="n"/>
      <c r="F243" s="28" t="n"/>
      <c r="G243" s="28" t="n"/>
      <c r="H243" s="28" t="n"/>
      <c r="I243" s="28" t="n"/>
      <c r="J243" s="28" t="n"/>
      <c r="K243" s="28" t="n"/>
      <c r="L243" s="28" t="n"/>
      <c r="M243" s="28" t="n"/>
      <c r="N243" s="28" t="n"/>
    </row>
    <row r="244" ht="18" customHeight="1">
      <c r="A244" s="281" t="inlineStr">
        <is>
          <t>Total</t>
        </is>
      </c>
      <c r="B244" s="282" t="n">
        <v>116313</v>
      </c>
    </row>
    <row r="245" ht="18" customHeight="1">
      <c r="A245" s="283" t="inlineStr">
        <is>
          <t>Top 5</t>
        </is>
      </c>
      <c r="C245" s="284" t="n"/>
      <c r="D245" s="284" t="n"/>
      <c r="E245" s="284" t="n"/>
      <c r="F245" s="284" t="n"/>
      <c r="G245" s="284" t="n"/>
      <c r="H245" s="13" t="n"/>
      <c r="I245" s="13" t="n"/>
      <c r="J245" s="13" t="n"/>
      <c r="K245" s="13" t="n"/>
      <c r="L245" s="13" t="n"/>
      <c r="M245" s="13" t="n"/>
      <c r="N245" s="13" t="n"/>
    </row>
    <row r="246" ht="18" customHeight="1">
      <c r="A246" s="285" t="inlineStr">
        <is>
          <t>1er</t>
        </is>
      </c>
      <c r="B246" s="286" t="n">
        <v>16519</v>
      </c>
      <c r="C246" s="287" t="inlineStr">
        <is>
          <t>V39</t>
        </is>
      </c>
      <c r="D246" s="287" t="n"/>
      <c r="E246" s="287" t="n"/>
      <c r="F246" s="287" t="n"/>
      <c r="G246" s="287" t="n"/>
      <c r="H246" s="15" t="n"/>
      <c r="I246" s="15" t="n"/>
      <c r="J246" s="15" t="n"/>
      <c r="K246" s="15" t="n"/>
      <c r="L246" s="15" t="n"/>
      <c r="M246" s="15" t="n"/>
      <c r="N246" s="15" t="n"/>
    </row>
    <row r="247" ht="18" customHeight="1">
      <c r="A247" s="285" t="inlineStr">
        <is>
          <t>2o</t>
        </is>
      </c>
      <c r="B247" s="286" t="n">
        <v>16242</v>
      </c>
      <c r="C247" s="287" t="n"/>
      <c r="D247" s="287" t="inlineStr">
        <is>
          <t>V38</t>
        </is>
      </c>
      <c r="E247" s="287" t="n"/>
      <c r="F247" s="287" t="n"/>
      <c r="G247" s="287" t="n"/>
      <c r="H247" s="15" t="n"/>
      <c r="I247" s="15" t="n"/>
      <c r="J247" s="15" t="n"/>
      <c r="K247" s="15" t="n"/>
      <c r="L247" s="15" t="n"/>
      <c r="M247" s="15" t="n"/>
      <c r="N247" s="15" t="n"/>
    </row>
    <row r="248" ht="18" customHeight="1">
      <c r="A248" s="285" t="inlineStr">
        <is>
          <t>3er</t>
        </is>
      </c>
      <c r="B248" s="286" t="n">
        <v>15691</v>
      </c>
      <c r="C248" s="287" t="n"/>
      <c r="D248" s="287" t="n"/>
      <c r="E248" s="287" t="inlineStr">
        <is>
          <t>V1</t>
        </is>
      </c>
      <c r="F248" s="287" t="n"/>
      <c r="G248" s="287" t="n"/>
      <c r="H248" s="15" t="n"/>
      <c r="I248" s="15" t="n"/>
      <c r="J248" s="15" t="n"/>
      <c r="K248" s="15" t="n"/>
      <c r="L248" s="15" t="n"/>
      <c r="M248" s="15" t="n"/>
      <c r="N248" s="15" t="n"/>
    </row>
    <row r="249" ht="18" customHeight="1">
      <c r="A249" s="285" t="inlineStr">
        <is>
          <t>4o</t>
        </is>
      </c>
      <c r="B249" s="286" t="n">
        <v>13754</v>
      </c>
      <c r="C249" s="287" t="n"/>
      <c r="D249" s="287" t="n"/>
      <c r="E249" s="287" t="n"/>
      <c r="F249" s="287" t="inlineStr">
        <is>
          <t>V6</t>
        </is>
      </c>
      <c r="G249" s="287" t="n"/>
      <c r="H249" s="15" t="n"/>
      <c r="I249" s="15" t="n"/>
      <c r="J249" s="15" t="n"/>
      <c r="K249" s="15" t="n"/>
      <c r="L249" s="15" t="n"/>
      <c r="M249" s="15" t="n"/>
      <c r="N249" s="15" t="n"/>
    </row>
    <row r="250" ht="18" customHeight="1">
      <c r="A250" s="285" t="inlineStr">
        <is>
          <t>5o</t>
        </is>
      </c>
      <c r="B250" s="286" t="n">
        <v>13047</v>
      </c>
      <c r="C250" s="287" t="n"/>
      <c r="D250" s="287" t="n"/>
      <c r="E250" s="287" t="n"/>
      <c r="F250" s="287" t="n"/>
      <c r="G250" s="287" t="inlineStr">
        <is>
          <t>V56</t>
        </is>
      </c>
      <c r="H250" s="15" t="n"/>
      <c r="I250" s="15" t="n"/>
      <c r="J250" s="15" t="n"/>
      <c r="K250" s="15" t="n"/>
      <c r="L250" s="15" t="n"/>
      <c r="M250" s="15" t="n"/>
      <c r="N250" s="15" t="n"/>
    </row>
    <row r="251" ht="18" customHeight="1"/>
    <row r="252" ht="18" customHeight="1">
      <c r="A252" s="280" t="inlineStr">
        <is>
          <t>COBRANZA VENCIDA</t>
        </is>
      </c>
      <c r="B252" s="28" t="n"/>
      <c r="C252" s="28" t="n"/>
      <c r="D252" s="28" t="n"/>
      <c r="E252" s="28" t="n"/>
      <c r="F252" s="28" t="n"/>
      <c r="G252" s="28" t="n"/>
      <c r="H252" s="28" t="n"/>
      <c r="I252" s="28" t="n"/>
      <c r="J252" s="28" t="n"/>
      <c r="K252" s="28" t="n"/>
      <c r="L252" s="28" t="n"/>
      <c r="M252" s="28" t="n"/>
      <c r="N252" s="28" t="n"/>
    </row>
    <row r="253" ht="18" customHeight="1">
      <c r="A253" s="281" t="inlineStr">
        <is>
          <t>Total</t>
        </is>
      </c>
      <c r="B253" s="282" t="n">
        <v>142779</v>
      </c>
    </row>
    <row r="254" ht="18" customHeight="1">
      <c r="A254" s="283" t="inlineStr">
        <is>
          <t>Top 5</t>
        </is>
      </c>
      <c r="C254" s="284" t="n"/>
      <c r="D254" s="284" t="n"/>
      <c r="E254" s="284" t="n"/>
      <c r="F254" s="284" t="n"/>
      <c r="G254" s="284" t="n"/>
      <c r="H254" s="13" t="n"/>
      <c r="I254" s="13" t="n"/>
      <c r="J254" s="13" t="n"/>
      <c r="K254" s="13" t="n"/>
      <c r="L254" s="13" t="n"/>
      <c r="M254" s="13" t="n"/>
      <c r="N254" s="13" t="n"/>
    </row>
    <row r="255" ht="18" customHeight="1">
      <c r="A255" s="285" t="inlineStr">
        <is>
          <t>1er</t>
        </is>
      </c>
      <c r="B255" s="286" t="n">
        <v>22753</v>
      </c>
      <c r="C255" s="287" t="inlineStr">
        <is>
          <t>EDGAR</t>
        </is>
      </c>
      <c r="D255" s="287" t="n"/>
      <c r="E255" s="287" t="n"/>
      <c r="F255" s="287" t="n"/>
      <c r="G255" s="287" t="n"/>
      <c r="H255" s="15" t="n"/>
      <c r="I255" s="15" t="n"/>
      <c r="J255" s="15" t="n"/>
      <c r="K255" s="15" t="n"/>
      <c r="L255" s="15" t="n"/>
      <c r="M255" s="15" t="n"/>
      <c r="N255" s="15" t="n"/>
    </row>
    <row r="256" ht="18" customHeight="1">
      <c r="A256" s="285" t="inlineStr">
        <is>
          <t>2o</t>
        </is>
      </c>
      <c r="B256" s="286" t="n">
        <v>22418</v>
      </c>
      <c r="C256" s="287" t="n"/>
      <c r="D256" s="287" t="inlineStr">
        <is>
          <t>V39</t>
        </is>
      </c>
      <c r="E256" s="287" t="n"/>
      <c r="F256" s="287" t="n"/>
      <c r="G256" s="287" t="n"/>
      <c r="H256" s="15" t="n"/>
      <c r="I256" s="15" t="n"/>
      <c r="J256" s="15" t="n"/>
      <c r="K256" s="15" t="n"/>
      <c r="L256" s="15" t="n"/>
      <c r="M256" s="15" t="n"/>
      <c r="N256" s="15" t="n"/>
    </row>
    <row r="257" ht="18" customHeight="1">
      <c r="A257" s="285" t="inlineStr">
        <is>
          <t>3er</t>
        </is>
      </c>
      <c r="B257" s="286" t="n">
        <v>22157</v>
      </c>
      <c r="C257" s="287" t="n"/>
      <c r="D257" s="287" t="n"/>
      <c r="E257" s="287" t="inlineStr">
        <is>
          <t>EDUARDO</t>
        </is>
      </c>
      <c r="F257" s="287" t="n"/>
      <c r="G257" s="287" t="n"/>
      <c r="H257" s="15" t="n"/>
      <c r="I257" s="15" t="n"/>
      <c r="J257" s="15" t="n"/>
      <c r="K257" s="15" t="n"/>
      <c r="L257" s="15" t="n"/>
      <c r="M257" s="15" t="n"/>
      <c r="N257" s="15" t="n"/>
    </row>
    <row r="258" ht="18" customHeight="1">
      <c r="A258" s="285" t="inlineStr">
        <is>
          <t>4o</t>
        </is>
      </c>
      <c r="B258" s="286" t="n">
        <v>19559</v>
      </c>
      <c r="C258" s="287" t="n"/>
      <c r="D258" s="287" t="n"/>
      <c r="E258" s="287" t="n"/>
      <c r="F258" s="287" t="inlineStr">
        <is>
          <t>DEPOSITO</t>
        </is>
      </c>
      <c r="G258" s="287" t="n"/>
      <c r="H258" s="15" t="n"/>
      <c r="I258" s="15" t="n"/>
      <c r="J258" s="15" t="n"/>
      <c r="K258" s="15" t="n"/>
      <c r="L258" s="15" t="n"/>
      <c r="M258" s="15" t="n"/>
      <c r="N258" s="15" t="n"/>
    </row>
    <row r="259" ht="18" customHeight="1">
      <c r="A259" s="285" t="inlineStr">
        <is>
          <t>5o</t>
        </is>
      </c>
      <c r="B259" s="286" t="n">
        <v>18767</v>
      </c>
      <c r="C259" s="287" t="n"/>
      <c r="D259" s="287" t="n"/>
      <c r="E259" s="287" t="n"/>
      <c r="F259" s="287" t="n"/>
      <c r="G259" s="287" t="inlineStr">
        <is>
          <t>FRANCISCO</t>
        </is>
      </c>
      <c r="H259" s="15" t="n"/>
      <c r="I259" s="15" t="n"/>
      <c r="J259" s="15" t="n"/>
      <c r="K259" s="15" t="n"/>
      <c r="L259" s="15" t="n"/>
      <c r="M259" s="15" t="n"/>
      <c r="N259" s="15" t="n"/>
    </row>
    <row r="260" ht="18" customHeight="1"/>
    <row r="261" ht="18" customHeight="1">
      <c r="A261" s="280" t="inlineStr">
        <is>
          <t>COBRANZA EFECTIVA</t>
        </is>
      </c>
      <c r="B261" s="28" t="n"/>
      <c r="C261" s="28" t="n"/>
      <c r="D261" s="28" t="n"/>
      <c r="E261" s="28" t="n"/>
      <c r="F261" s="28" t="n"/>
      <c r="G261" s="28" t="n"/>
      <c r="H261" s="28" t="n"/>
      <c r="I261" s="28" t="n"/>
      <c r="J261" s="28" t="n"/>
      <c r="K261" s="28" t="n"/>
      <c r="L261" s="28" t="n"/>
      <c r="M261" s="28" t="n"/>
      <c r="N261" s="28" t="n"/>
    </row>
    <row r="262" ht="18" customHeight="1">
      <c r="A262" s="281" t="inlineStr">
        <is>
          <t>Total</t>
        </is>
      </c>
      <c r="B262" s="282" t="n">
        <v>1017950</v>
      </c>
    </row>
    <row r="263" ht="18" customHeight="1">
      <c r="A263" s="283" t="inlineStr">
        <is>
          <t>Top 5</t>
        </is>
      </c>
      <c r="C263" s="284" t="n"/>
      <c r="D263" s="284" t="n"/>
      <c r="E263" s="284" t="n"/>
      <c r="F263" s="284" t="n"/>
      <c r="G263" s="284" t="n"/>
      <c r="H263" s="13" t="n"/>
      <c r="I263" s="13" t="n"/>
      <c r="J263" s="13" t="n"/>
      <c r="K263" s="13" t="n"/>
      <c r="L263" s="13" t="n"/>
      <c r="M263" s="13" t="n"/>
      <c r="N263" s="13" t="n"/>
    </row>
    <row r="264" ht="18" customHeight="1">
      <c r="A264" s="285" t="inlineStr">
        <is>
          <t>1er</t>
        </is>
      </c>
      <c r="B264" s="286" t="n">
        <v>226674</v>
      </c>
      <c r="C264" s="287" t="inlineStr">
        <is>
          <t>DEPOSITO</t>
        </is>
      </c>
      <c r="D264" s="287" t="n"/>
      <c r="E264" s="287" t="n"/>
      <c r="F264" s="287" t="n"/>
      <c r="G264" s="287" t="n"/>
      <c r="H264" s="15" t="n"/>
      <c r="I264" s="15" t="n"/>
      <c r="J264" s="15" t="n"/>
      <c r="K264" s="15" t="n"/>
      <c r="L264" s="15" t="n"/>
      <c r="M264" s="15" t="n"/>
      <c r="N264" s="15" t="n"/>
    </row>
    <row r="265" ht="18" customHeight="1">
      <c r="A265" s="285" t="inlineStr">
        <is>
          <t>2o</t>
        </is>
      </c>
      <c r="B265" s="286" t="n">
        <v>174488</v>
      </c>
      <c r="C265" s="287" t="n"/>
      <c r="D265" s="287" t="inlineStr">
        <is>
          <t>EDGAR</t>
        </is>
      </c>
      <c r="E265" s="287" t="n"/>
      <c r="F265" s="287" t="n"/>
      <c r="G265" s="287" t="n"/>
      <c r="H265" s="15" t="n"/>
      <c r="I265" s="15" t="n"/>
      <c r="J265" s="15" t="n"/>
      <c r="K265" s="15" t="n"/>
      <c r="L265" s="15" t="n"/>
      <c r="M265" s="15" t="n"/>
      <c r="N265" s="15" t="n"/>
    </row>
    <row r="266" ht="18" customHeight="1">
      <c r="A266" s="285" t="inlineStr">
        <is>
          <t>3er</t>
        </is>
      </c>
      <c r="B266" s="286" t="n">
        <v>117049</v>
      </c>
      <c r="C266" s="287" t="n"/>
      <c r="D266" s="287" t="n"/>
      <c r="E266" s="287" t="inlineStr">
        <is>
          <t>JORGE</t>
        </is>
      </c>
      <c r="F266" s="287" t="n"/>
      <c r="G266" s="287" t="n"/>
      <c r="H266" s="15" t="n"/>
      <c r="I266" s="15" t="n"/>
      <c r="J266" s="15" t="n"/>
      <c r="K266" s="15" t="n"/>
      <c r="L266" s="15" t="n"/>
      <c r="M266" s="15" t="n"/>
      <c r="N266" s="15" t="n"/>
    </row>
    <row r="267" ht="18" customHeight="1">
      <c r="A267" s="285" t="inlineStr">
        <is>
          <t>4o</t>
        </is>
      </c>
      <c r="B267" s="286" t="n">
        <v>109425</v>
      </c>
      <c r="C267" s="287" t="n"/>
      <c r="D267" s="287" t="n"/>
      <c r="E267" s="287" t="n"/>
      <c r="F267" s="287" t="inlineStr">
        <is>
          <t>FRANCISCO</t>
        </is>
      </c>
      <c r="G267" s="287" t="n"/>
      <c r="H267" s="15" t="n"/>
      <c r="I267" s="15" t="n"/>
      <c r="J267" s="15" t="n"/>
      <c r="K267" s="15" t="n"/>
      <c r="L267" s="15" t="n"/>
      <c r="M267" s="15" t="n"/>
      <c r="N267" s="15" t="n"/>
    </row>
    <row r="268" ht="18" customHeight="1">
      <c r="A268" s="285" t="inlineStr">
        <is>
          <t>5o</t>
        </is>
      </c>
      <c r="B268" s="286" t="n">
        <v>57711</v>
      </c>
      <c r="C268" s="287" t="n"/>
      <c r="D268" s="287" t="n"/>
      <c r="E268" s="287" t="n"/>
      <c r="F268" s="287" t="n"/>
      <c r="G268" s="287" t="inlineStr">
        <is>
          <t>V39</t>
        </is>
      </c>
      <c r="H268" s="15" t="n"/>
      <c r="I268" s="15" t="n"/>
      <c r="J268" s="15" t="n"/>
      <c r="K268" s="15" t="n"/>
      <c r="L268" s="15" t="n"/>
      <c r="M268" s="15" t="n"/>
      <c r="N268" s="15" t="n"/>
    </row>
    <row r="269" ht="18" customHeight="1"/>
    <row r="270" ht="18" customHeight="1">
      <c r="A270" s="280" t="inlineStr">
        <is>
          <t>COBRANZA RECUPERADA</t>
        </is>
      </c>
      <c r="B270" s="28" t="n"/>
      <c r="C270" s="28" t="n"/>
      <c r="D270" s="28" t="n"/>
      <c r="E270" s="28" t="n"/>
      <c r="F270" s="28" t="n"/>
      <c r="G270" s="28" t="n"/>
      <c r="H270" s="28" t="n"/>
      <c r="I270" s="28" t="n"/>
      <c r="J270" s="28" t="n"/>
      <c r="K270" s="28" t="n"/>
      <c r="L270" s="28" t="n"/>
      <c r="M270" s="28" t="n"/>
      <c r="N270" s="28" t="n"/>
    </row>
    <row r="271" ht="18" customHeight="1">
      <c r="A271" s="281" t="inlineStr">
        <is>
          <t>Total</t>
        </is>
      </c>
      <c r="B271" s="282" t="n">
        <v>73871</v>
      </c>
    </row>
    <row r="272" ht="18" customHeight="1">
      <c r="A272" s="283" t="inlineStr">
        <is>
          <t>Top 5</t>
        </is>
      </c>
      <c r="C272" s="284" t="n"/>
      <c r="D272" s="284" t="n"/>
      <c r="E272" s="284" t="n"/>
      <c r="F272" s="284" t="n"/>
      <c r="G272" s="284" t="n"/>
      <c r="H272" s="13" t="n"/>
      <c r="I272" s="13" t="n"/>
      <c r="J272" s="13" t="n"/>
      <c r="K272" s="13" t="n"/>
      <c r="L272" s="13" t="n"/>
      <c r="M272" s="13" t="n"/>
      <c r="N272" s="13" t="n"/>
    </row>
    <row r="273" ht="18" customHeight="1">
      <c r="A273" s="285" t="inlineStr">
        <is>
          <t>1er</t>
        </is>
      </c>
      <c r="B273" s="286" t="n">
        <v>30063</v>
      </c>
      <c r="C273" s="287" t="inlineStr">
        <is>
          <t>V39</t>
        </is>
      </c>
      <c r="D273" s="287" t="n"/>
      <c r="E273" s="287" t="n"/>
      <c r="F273" s="287" t="n"/>
      <c r="G273" s="287" t="n"/>
      <c r="H273" s="15" t="n"/>
      <c r="I273" s="15" t="n"/>
      <c r="J273" s="15" t="n"/>
      <c r="K273" s="15" t="n"/>
      <c r="L273" s="15" t="n"/>
      <c r="M273" s="15" t="n"/>
      <c r="N273" s="15" t="n"/>
    </row>
    <row r="274" ht="18" customHeight="1">
      <c r="A274" s="285" t="inlineStr">
        <is>
          <t>2o</t>
        </is>
      </c>
      <c r="B274" s="286" t="n">
        <v>26674</v>
      </c>
      <c r="C274" s="287" t="n"/>
      <c r="D274" s="287" t="inlineStr">
        <is>
          <t>DEPOSITO</t>
        </is>
      </c>
      <c r="E274" s="287" t="n"/>
      <c r="F274" s="287" t="n"/>
      <c r="G274" s="287" t="n"/>
      <c r="H274" s="15" t="n"/>
      <c r="I274" s="15" t="n"/>
      <c r="J274" s="15" t="n"/>
      <c r="K274" s="15" t="n"/>
      <c r="L274" s="15" t="n"/>
      <c r="M274" s="15" t="n"/>
      <c r="N274" s="15" t="n"/>
    </row>
    <row r="275" ht="18" customHeight="1">
      <c r="A275" s="285" t="inlineStr">
        <is>
          <t>3er</t>
        </is>
      </c>
      <c r="B275" s="286" t="n">
        <v>10724</v>
      </c>
      <c r="C275" s="287" t="n"/>
      <c r="D275" s="287" t="n"/>
      <c r="E275" s="287" t="inlineStr">
        <is>
          <t>JORGE</t>
        </is>
      </c>
      <c r="F275" s="287" t="n"/>
      <c r="G275" s="287" t="n"/>
      <c r="H275" s="15" t="n"/>
      <c r="I275" s="15" t="n"/>
      <c r="J275" s="15" t="n"/>
      <c r="K275" s="15" t="n"/>
      <c r="L275" s="15" t="n"/>
      <c r="M275" s="15" t="n"/>
      <c r="N275" s="15" t="n"/>
    </row>
    <row r="276" ht="18" customHeight="1">
      <c r="A276" s="285" t="inlineStr">
        <is>
          <t>4o</t>
        </is>
      </c>
      <c r="B276" s="286" t="n">
        <v>7799</v>
      </c>
      <c r="C276" s="287" t="n"/>
      <c r="D276" s="287" t="n"/>
      <c r="E276" s="287" t="n"/>
      <c r="F276" s="287" t="inlineStr">
        <is>
          <t>EDUARDO</t>
        </is>
      </c>
      <c r="G276" s="287" t="n"/>
      <c r="H276" s="15" t="n"/>
      <c r="I276" s="15" t="n"/>
      <c r="J276" s="15" t="n"/>
      <c r="K276" s="15" t="n"/>
      <c r="L276" s="15" t="n"/>
      <c r="M276" s="15" t="n"/>
      <c r="N276" s="15" t="n"/>
    </row>
    <row r="277" ht="18" customHeight="1">
      <c r="A277" s="285" t="inlineStr">
        <is>
          <t>5o</t>
        </is>
      </c>
      <c r="B277" s="286" t="n">
        <v>5743</v>
      </c>
      <c r="C277" s="287" t="n"/>
      <c r="D277" s="287" t="n"/>
      <c r="E277" s="287" t="n"/>
      <c r="F277" s="287" t="n"/>
      <c r="G277" s="287" t="inlineStr">
        <is>
          <t>EDGAR</t>
        </is>
      </c>
      <c r="H277" s="15" t="n"/>
      <c r="I277" s="15" t="n"/>
      <c r="J277" s="15" t="n"/>
      <c r="K277" s="15" t="n"/>
      <c r="L277" s="15" t="n"/>
      <c r="M277" s="15" t="n"/>
      <c r="N277" s="15" t="n"/>
    </row>
    <row r="278" ht="18" customHeight="1"/>
    <row r="279" ht="18" customHeight="1">
      <c r="A279" s="280" t="inlineStr">
        <is>
          <t>COBRANZA TOTAL GENERAL</t>
        </is>
      </c>
      <c r="B279" s="28" t="n"/>
      <c r="C279" s="28" t="n"/>
      <c r="D279" s="28" t="n"/>
      <c r="E279" s="28" t="n"/>
      <c r="F279" s="28" t="n"/>
      <c r="G279" s="28" t="n"/>
      <c r="H279" s="28" t="n"/>
      <c r="I279" s="28" t="n"/>
      <c r="J279" s="28" t="n"/>
      <c r="K279" s="28" t="n"/>
      <c r="L279" s="28" t="n"/>
      <c r="M279" s="28" t="n"/>
      <c r="N279" s="28" t="n"/>
    </row>
    <row r="280" ht="18" customHeight="1">
      <c r="A280" s="281" t="inlineStr">
        <is>
          <t>Total</t>
        </is>
      </c>
      <c r="B280" s="282" t="n">
        <v>1136869</v>
      </c>
    </row>
    <row r="281" ht="18" customHeight="1">
      <c r="A281" s="283" t="inlineStr">
        <is>
          <t>Top 5</t>
        </is>
      </c>
      <c r="C281" s="284" t="n"/>
      <c r="D281" s="284" t="n"/>
      <c r="E281" s="284" t="n"/>
      <c r="F281" s="284" t="n"/>
      <c r="G281" s="284" t="n"/>
      <c r="H281" s="13" t="n"/>
      <c r="I281" s="13" t="n"/>
      <c r="J281" s="13" t="n"/>
      <c r="K281" s="13" t="n"/>
      <c r="L281" s="13" t="n"/>
      <c r="M281" s="13" t="n"/>
      <c r="N281" s="13" t="n"/>
    </row>
    <row r="282" ht="18" customHeight="1">
      <c r="A282" s="285" t="inlineStr">
        <is>
          <t>1er</t>
        </is>
      </c>
      <c r="B282" s="286" t="n">
        <v>246701</v>
      </c>
      <c r="C282" s="287" t="inlineStr">
        <is>
          <t>DEPOSITO</t>
        </is>
      </c>
      <c r="D282" s="287" t="n"/>
      <c r="E282" s="287" t="n"/>
      <c r="F282" s="287" t="n"/>
      <c r="G282" s="287" t="n"/>
      <c r="H282" s="15" t="n"/>
      <c r="I282" s="15" t="n"/>
      <c r="J282" s="15" t="n"/>
      <c r="K282" s="15" t="n"/>
      <c r="L282" s="15" t="n"/>
      <c r="M282" s="15" t="n"/>
      <c r="N282" s="15" t="n"/>
    </row>
    <row r="283" ht="18" customHeight="1">
      <c r="A283" s="285" t="inlineStr">
        <is>
          <t>2o</t>
        </is>
      </c>
      <c r="B283" s="286" t="n">
        <v>185092</v>
      </c>
      <c r="C283" s="287" t="n"/>
      <c r="D283" s="287" t="inlineStr">
        <is>
          <t>EDGAR</t>
        </is>
      </c>
      <c r="E283" s="287" t="n"/>
      <c r="F283" s="287" t="n"/>
      <c r="G283" s="287" t="n"/>
      <c r="H283" s="15" t="n"/>
      <c r="I283" s="15" t="n"/>
      <c r="J283" s="15" t="n"/>
      <c r="K283" s="15" t="n"/>
      <c r="L283" s="15" t="n"/>
      <c r="M283" s="15" t="n"/>
      <c r="N283" s="15" t="n"/>
    </row>
    <row r="284" ht="18" customHeight="1">
      <c r="A284" s="285" t="inlineStr">
        <is>
          <t>3er</t>
        </is>
      </c>
      <c r="B284" s="286" t="n">
        <v>129392</v>
      </c>
      <c r="C284" s="287" t="n"/>
      <c r="D284" s="287" t="n"/>
      <c r="E284" s="287" t="inlineStr">
        <is>
          <t>JORGE</t>
        </is>
      </c>
      <c r="F284" s="287" t="n"/>
      <c r="G284" s="287" t="n"/>
      <c r="H284" s="15" t="n"/>
      <c r="I284" s="15" t="n"/>
      <c r="J284" s="15" t="n"/>
      <c r="K284" s="15" t="n"/>
      <c r="L284" s="15" t="n"/>
      <c r="M284" s="15" t="n"/>
      <c r="N284" s="15" t="n"/>
    </row>
    <row r="285" ht="18" customHeight="1">
      <c r="A285" s="285" t="inlineStr">
        <is>
          <t>4o</t>
        </is>
      </c>
      <c r="B285" s="286" t="n">
        <v>117118</v>
      </c>
      <c r="C285" s="287" t="n"/>
      <c r="D285" s="287" t="n"/>
      <c r="E285" s="287" t="n"/>
      <c r="F285" s="287" t="inlineStr">
        <is>
          <t>FRANCISCO</t>
        </is>
      </c>
      <c r="G285" s="287" t="n"/>
      <c r="H285" s="15" t="n"/>
      <c r="I285" s="15" t="n"/>
      <c r="J285" s="15" t="n"/>
      <c r="K285" s="15" t="n"/>
      <c r="L285" s="15" t="n"/>
      <c r="M285" s="15" t="n"/>
      <c r="N285" s="15" t="n"/>
    </row>
    <row r="286" ht="18" customHeight="1">
      <c r="A286" s="285" t="inlineStr">
        <is>
          <t>5o</t>
        </is>
      </c>
      <c r="B286" s="286" t="n">
        <v>89557</v>
      </c>
      <c r="C286" s="287" t="n"/>
      <c r="D286" s="287" t="n"/>
      <c r="E286" s="287" t="n"/>
      <c r="F286" s="287" t="n"/>
      <c r="G286" s="287" t="inlineStr">
        <is>
          <t>V39</t>
        </is>
      </c>
      <c r="H286" s="15" t="n"/>
      <c r="I286" s="15" t="n"/>
      <c r="J286" s="15" t="n"/>
      <c r="K286" s="15" t="n"/>
      <c r="L286" s="15" t="n"/>
      <c r="M286" s="15" t="n"/>
      <c r="N286" s="15" t="n"/>
    </row>
    <row r="287" ht="18" customHeight="1"/>
    <row r="288" ht="18" customHeight="1">
      <c r="A288" s="280" t="inlineStr">
        <is>
          <t>COBRANZA ADELANTADA F.</t>
        </is>
      </c>
      <c r="B288" s="28" t="n"/>
      <c r="C288" s="28" t="n"/>
      <c r="D288" s="28" t="n"/>
      <c r="E288" s="28" t="n"/>
      <c r="F288" s="28" t="n"/>
      <c r="G288" s="28" t="n"/>
      <c r="H288" s="28" t="n"/>
      <c r="I288" s="28" t="n"/>
      <c r="J288" s="28" t="n"/>
      <c r="K288" s="28" t="n"/>
      <c r="L288" s="28" t="n"/>
      <c r="M288" s="28" t="n"/>
      <c r="N288" s="28" t="n"/>
    </row>
    <row r="289" ht="18" customHeight="1">
      <c r="A289" s="281" t="inlineStr">
        <is>
          <t>Total</t>
        </is>
      </c>
      <c r="B289" s="282" t="n">
        <v>2689</v>
      </c>
    </row>
    <row r="290" ht="18" customHeight="1">
      <c r="A290" s="283" t="inlineStr">
        <is>
          <t>Top 5</t>
        </is>
      </c>
      <c r="C290" s="284" t="n"/>
      <c r="D290" s="284" t="n"/>
      <c r="E290" s="284" t="n"/>
      <c r="F290" s="284" t="n"/>
      <c r="G290" s="284" t="n"/>
      <c r="H290" s="13" t="n"/>
      <c r="I290" s="13" t="n"/>
      <c r="J290" s="13" t="n"/>
      <c r="K290" s="13" t="n"/>
      <c r="L290" s="13" t="n"/>
      <c r="M290" s="13" t="n"/>
      <c r="N290" s="13" t="n"/>
    </row>
    <row r="291" ht="18" customHeight="1">
      <c r="A291" s="285" t="inlineStr">
        <is>
          <t>1er</t>
        </is>
      </c>
      <c r="B291" s="286" t="n">
        <v>2130</v>
      </c>
      <c r="C291" s="287" t="inlineStr">
        <is>
          <t>V55</t>
        </is>
      </c>
      <c r="D291" s="287" t="n"/>
      <c r="E291" s="287" t="n"/>
      <c r="F291" s="287" t="n"/>
      <c r="G291" s="287" t="n"/>
      <c r="H291" s="15" t="n"/>
      <c r="I291" s="15" t="n"/>
      <c r="J291" s="15" t="n"/>
      <c r="K291" s="15" t="n"/>
      <c r="L291" s="15" t="n"/>
      <c r="M291" s="15" t="n"/>
      <c r="N291" s="15" t="n"/>
    </row>
    <row r="292" ht="18" customHeight="1">
      <c r="A292" s="285" t="inlineStr">
        <is>
          <t>2o</t>
        </is>
      </c>
      <c r="B292" s="286" t="n">
        <v>559</v>
      </c>
      <c r="C292" s="287" t="n"/>
      <c r="D292" s="287" t="inlineStr">
        <is>
          <t>DEPOSITO</t>
        </is>
      </c>
      <c r="E292" s="287" t="n"/>
      <c r="F292" s="287" t="n"/>
      <c r="G292" s="287" t="n"/>
      <c r="H292" s="15" t="n"/>
      <c r="I292" s="15" t="n"/>
      <c r="J292" s="15" t="n"/>
      <c r="K292" s="15" t="n"/>
      <c r="L292" s="15" t="n"/>
      <c r="M292" s="15" t="n"/>
      <c r="N292" s="15" t="n"/>
    </row>
    <row r="293" ht="18" customHeight="1">
      <c r="A293" s="285" t="inlineStr">
        <is>
          <t>3er</t>
        </is>
      </c>
      <c r="B293" s="286" t="n"/>
      <c r="C293" s="287" t="n"/>
      <c r="D293" s="287" t="n"/>
      <c r="E293" s="287" t="n"/>
      <c r="F293" s="287" t="n"/>
      <c r="G293" s="287" t="n"/>
      <c r="H293" s="15" t="n"/>
      <c r="I293" s="15" t="n"/>
      <c r="J293" s="15" t="n"/>
      <c r="K293" s="15" t="n"/>
      <c r="L293" s="15" t="n"/>
      <c r="M293" s="15" t="n"/>
      <c r="N293" s="15" t="n"/>
    </row>
    <row r="294" ht="18" customHeight="1">
      <c r="A294" s="285" t="inlineStr">
        <is>
          <t>4o</t>
        </is>
      </c>
      <c r="B294" s="286" t="n"/>
      <c r="C294" s="287" t="n"/>
      <c r="D294" s="287" t="n"/>
      <c r="E294" s="287" t="n"/>
      <c r="F294" s="287" t="n"/>
      <c r="G294" s="287" t="n"/>
      <c r="H294" s="15" t="n"/>
      <c r="I294" s="15" t="n"/>
      <c r="J294" s="15" t="n"/>
      <c r="K294" s="15" t="n"/>
      <c r="L294" s="15" t="n"/>
      <c r="M294" s="15" t="n"/>
      <c r="N294" s="15" t="n"/>
    </row>
    <row r="295" ht="18" customHeight="1">
      <c r="A295" s="285" t="inlineStr">
        <is>
          <t>5o</t>
        </is>
      </c>
      <c r="B295" s="286" t="n"/>
      <c r="C295" s="287" t="n"/>
      <c r="D295" s="287" t="n"/>
      <c r="E295" s="287" t="n"/>
      <c r="F295" s="287" t="n"/>
      <c r="G295" s="287" t="n"/>
      <c r="H295" s="15" t="n"/>
      <c r="I295" s="15" t="n"/>
      <c r="J295" s="15" t="n"/>
      <c r="K295" s="15" t="n"/>
      <c r="L295" s="15" t="n"/>
      <c r="M295" s="15" t="n"/>
      <c r="N295" s="15" t="n"/>
    </row>
    <row r="296" ht="18" customHeight="1"/>
    <row r="297" ht="18" customHeight="1">
      <c r="A297" s="280" t="inlineStr">
        <is>
          <t>PROYECCIÓN ABRIL → ABRIL</t>
        </is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 t="n"/>
      <c r="L297" s="28" t="n"/>
      <c r="M297" s="28" t="n"/>
      <c r="N297" s="28" t="n"/>
    </row>
    <row r="298" ht="18" customHeight="1">
      <c r="A298" s="281" t="inlineStr">
        <is>
          <t>Proyección ABRIL</t>
        </is>
      </c>
      <c r="B298" s="282" t="n">
        <v>1031832</v>
      </c>
    </row>
    <row r="299" ht="18" customHeight="1"/>
    <row r="300" ht="18" customHeight="1"/>
    <row r="301" ht="24" customHeight="1">
      <c r="A301" s="277" t="inlineStr">
        <is>
          <t>MAYO 2026</t>
        </is>
      </c>
    </row>
    <row r="302" ht="18" customHeight="1">
      <c r="A302" s="5" t="inlineStr">
        <is>
          <t>CONCEPTO</t>
        </is>
      </c>
      <c r="B302" s="5" t="inlineStr">
        <is>
          <t>TOTAL ($)</t>
        </is>
      </c>
      <c r="C302" s="5" t="inlineStr">
        <is>
          <t>TOP 1</t>
        </is>
      </c>
      <c r="D302" s="5" t="inlineStr">
        <is>
          <t>TOP 2</t>
        </is>
      </c>
      <c r="E302" s="5" t="inlineStr">
        <is>
          <t>TOP 3</t>
        </is>
      </c>
      <c r="F302" s="5" t="inlineStr">
        <is>
          <t>TOP 4</t>
        </is>
      </c>
      <c r="G302" s="5" t="inlineStr">
        <is>
          <t>TOP 5</t>
        </is>
      </c>
      <c r="H302" s="5" t="inlineStr">
        <is>
          <t>% TOP 1</t>
        </is>
      </c>
      <c r="I302" s="5" t="inlineStr">
        <is>
          <t>% TOP 2</t>
        </is>
      </c>
      <c r="J302" s="5" t="inlineStr">
        <is>
          <t>% TOP 3</t>
        </is>
      </c>
      <c r="K302" s="5" t="inlineStr">
        <is>
          <t>% TOP 4</t>
        </is>
      </c>
      <c r="L302" s="5" t="inlineStr">
        <is>
          <t>% TOP 5</t>
        </is>
      </c>
      <c r="M302" s="5" t="inlineStr">
        <is>
          <t>% ACUM.</t>
        </is>
      </c>
    </row>
    <row r="303" ht="18" customHeight="1">
      <c r="A303" s="35" t="inlineStr">
        <is>
          <t>DATOS GENERALES</t>
        </is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 t="n"/>
      <c r="L303" s="28" t="n"/>
      <c r="M303" s="28" t="n"/>
      <c r="N303" s="28" t="n"/>
    </row>
    <row r="304" ht="18" customHeight="1">
      <c r="A304" s="8" t="inlineStr">
        <is>
          <t>Mes</t>
        </is>
      </c>
      <c r="B304" s="9" t="inlineStr">
        <is>
          <t>MAYO</t>
        </is>
      </c>
      <c r="E304" s="8" t="inlineStr">
        <is>
          <t>Año</t>
        </is>
      </c>
      <c r="F304" s="9" t="inlineStr">
        <is>
          <t>2026</t>
        </is>
      </c>
    </row>
    <row r="305" ht="18" customHeight="1">
      <c r="A305" s="8" t="inlineStr">
        <is>
          <t>Fecha de corte</t>
        </is>
      </c>
      <c r="B305" s="10" t="n"/>
      <c r="E305" s="8" t="inlineStr">
        <is>
          <t>Elaboró</t>
        </is>
      </c>
      <c r="F305" s="10" t="n"/>
    </row>
    <row r="306" ht="18" customHeight="1">
      <c r="A306" s="8" t="inlineStr">
        <is>
          <t>Reportado por</t>
        </is>
      </c>
      <c r="B306" s="10" t="n"/>
      <c r="E306" s="8" t="inlineStr">
        <is>
          <t>Cargo</t>
        </is>
      </c>
      <c r="F306" s="10" t="n"/>
    </row>
    <row r="307" ht="18" customHeight="1"/>
    <row r="308" ht="18" customHeight="1">
      <c r="A308" s="35" t="inlineStr">
        <is>
          <t>COBRANZA CORRIENTE</t>
        </is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 t="n"/>
      <c r="L308" s="28" t="n"/>
      <c r="M308" s="28" t="n"/>
      <c r="N308" s="28" t="n"/>
    </row>
    <row r="309" ht="18" customHeight="1">
      <c r="A309" s="8" t="inlineStr">
        <is>
          <t>Total</t>
        </is>
      </c>
      <c r="B309" s="11" t="n"/>
    </row>
    <row r="310" ht="18" customHeight="1">
      <c r="A310" s="12" t="inlineStr">
        <is>
          <t>Top 5</t>
        </is>
      </c>
      <c r="C310" s="13" t="n"/>
      <c r="D310" s="13" t="n"/>
      <c r="E310" s="13" t="n"/>
      <c r="F310" s="13" t="n"/>
      <c r="G310" s="13" t="n"/>
      <c r="H310" s="13" t="n"/>
      <c r="I310" s="13" t="n"/>
      <c r="J310" s="13" t="n"/>
      <c r="K310" s="13" t="n"/>
      <c r="L310" s="13" t="n"/>
      <c r="M310" s="13" t="n"/>
      <c r="N310" s="13" t="n"/>
    </row>
    <row r="311" ht="18" customHeight="1">
      <c r="A311" s="14" t="inlineStr">
        <is>
          <t>1er lugar</t>
        </is>
      </c>
      <c r="B311" s="15" t="n"/>
      <c r="C311" s="15" t="n"/>
      <c r="D311" s="15" t="n"/>
      <c r="E311" s="15" t="n"/>
      <c r="F311" s="15" t="n"/>
      <c r="G311" s="15" t="n"/>
      <c r="H311" s="15" t="n"/>
      <c r="I311" s="15" t="n"/>
      <c r="J311" s="15" t="n"/>
      <c r="K311" s="15" t="n"/>
      <c r="L311" s="15" t="n"/>
      <c r="M311" s="15" t="n"/>
      <c r="N311" s="15" t="n"/>
    </row>
    <row r="312" ht="18" customHeight="1">
      <c r="A312" s="14" t="inlineStr">
        <is>
          <t>2o lugar</t>
        </is>
      </c>
      <c r="B312" s="15" t="n"/>
      <c r="C312" s="15" t="n"/>
      <c r="D312" s="15" t="n"/>
      <c r="E312" s="15" t="n"/>
      <c r="F312" s="15" t="n"/>
      <c r="G312" s="15" t="n"/>
      <c r="H312" s="15" t="n"/>
      <c r="I312" s="15" t="n"/>
      <c r="J312" s="15" t="n"/>
      <c r="K312" s="15" t="n"/>
      <c r="L312" s="15" t="n"/>
      <c r="M312" s="15" t="n"/>
      <c r="N312" s="15" t="n"/>
    </row>
    <row r="313" ht="18" customHeight="1">
      <c r="A313" s="14" t="inlineStr">
        <is>
          <t>3er lugar</t>
        </is>
      </c>
      <c r="B313" s="15" t="n"/>
      <c r="C313" s="15" t="n"/>
      <c r="D313" s="15" t="n"/>
      <c r="E313" s="15" t="n"/>
      <c r="F313" s="15" t="n"/>
      <c r="G313" s="15" t="n"/>
      <c r="H313" s="15" t="n"/>
      <c r="I313" s="15" t="n"/>
      <c r="J313" s="15" t="n"/>
      <c r="K313" s="15" t="n"/>
      <c r="L313" s="15" t="n"/>
      <c r="M313" s="15" t="n"/>
      <c r="N313" s="15" t="n"/>
    </row>
    <row r="314" ht="18" customHeight="1">
      <c r="A314" s="14" t="inlineStr">
        <is>
          <t>4o lugar</t>
        </is>
      </c>
      <c r="B314" s="15" t="n"/>
      <c r="C314" s="15" t="n"/>
      <c r="D314" s="15" t="n"/>
      <c r="E314" s="15" t="n"/>
      <c r="F314" s="15" t="n"/>
      <c r="G314" s="15" t="n"/>
      <c r="H314" s="15" t="n"/>
      <c r="I314" s="15" t="n"/>
      <c r="J314" s="15" t="n"/>
      <c r="K314" s="15" t="n"/>
      <c r="L314" s="15" t="n"/>
      <c r="M314" s="15" t="n"/>
      <c r="N314" s="15" t="n"/>
    </row>
    <row r="315" ht="18" customHeight="1">
      <c r="A315" s="14" t="inlineStr">
        <is>
          <t>5o lugar</t>
        </is>
      </c>
      <c r="B315" s="15" t="n"/>
      <c r="C315" s="15" t="n"/>
      <c r="D315" s="15" t="n"/>
      <c r="E315" s="15" t="n"/>
      <c r="F315" s="15" t="n"/>
      <c r="G315" s="15" t="n"/>
      <c r="H315" s="15" t="n"/>
      <c r="I315" s="15" t="n"/>
      <c r="J315" s="15" t="n"/>
      <c r="K315" s="15" t="n"/>
      <c r="L315" s="15" t="n"/>
      <c r="M315" s="15" t="n"/>
      <c r="N315" s="15" t="n"/>
    </row>
    <row r="316" ht="18" customHeight="1"/>
    <row r="317" ht="18" customHeight="1">
      <c r="A317" s="35" t="inlineStr">
        <is>
          <t>CANCELACIONES</t>
        </is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 t="n"/>
      <c r="L317" s="28" t="n"/>
      <c r="M317" s="28" t="n"/>
      <c r="N317" s="28" t="n"/>
    </row>
    <row r="318" ht="18" customHeight="1">
      <c r="A318" s="16" t="inlineStr">
        <is>
          <t>Total</t>
        </is>
      </c>
      <c r="B318" s="17" t="n"/>
    </row>
    <row r="319" ht="18" customHeight="1">
      <c r="A319" s="12" t="inlineStr">
        <is>
          <t>Top 5</t>
        </is>
      </c>
      <c r="C319" s="13" t="n"/>
      <c r="D319" s="13" t="n"/>
      <c r="E319" s="13" t="n"/>
      <c r="F319" s="13" t="n"/>
      <c r="G319" s="13" t="n"/>
      <c r="H319" s="13" t="n"/>
      <c r="I319" s="13" t="n"/>
      <c r="J319" s="13" t="n"/>
      <c r="K319" s="13" t="n"/>
      <c r="L319" s="13" t="n"/>
      <c r="M319" s="13" t="n"/>
      <c r="N319" s="13" t="n"/>
    </row>
    <row r="320" ht="18" customHeight="1">
      <c r="A320" s="14" t="inlineStr">
        <is>
          <t>1er lugar</t>
        </is>
      </c>
      <c r="B320" s="15" t="n"/>
      <c r="C320" s="15" t="n"/>
      <c r="D320" s="15" t="n"/>
      <c r="E320" s="15" t="n"/>
      <c r="F320" s="15" t="n"/>
      <c r="G320" s="15" t="n"/>
      <c r="H320" s="15" t="n"/>
      <c r="I320" s="15" t="n"/>
      <c r="J320" s="15" t="n"/>
      <c r="K320" s="15" t="n"/>
      <c r="L320" s="15" t="n"/>
      <c r="M320" s="15" t="n"/>
      <c r="N320" s="15" t="n"/>
    </row>
    <row r="321" ht="18" customHeight="1">
      <c r="A321" s="14" t="inlineStr">
        <is>
          <t>2o lugar</t>
        </is>
      </c>
      <c r="B321" s="15" t="n"/>
      <c r="C321" s="15" t="n"/>
      <c r="D321" s="15" t="n"/>
      <c r="E321" s="15" t="n"/>
      <c r="F321" s="15" t="n"/>
      <c r="G321" s="15" t="n"/>
      <c r="H321" s="15" t="n"/>
      <c r="I321" s="15" t="n"/>
      <c r="J321" s="15" t="n"/>
      <c r="K321" s="15" t="n"/>
      <c r="L321" s="15" t="n"/>
      <c r="M321" s="15" t="n"/>
      <c r="N321" s="15" t="n"/>
    </row>
    <row r="322" ht="18" customHeight="1">
      <c r="A322" s="14" t="inlineStr">
        <is>
          <t>3er lugar</t>
        </is>
      </c>
      <c r="B322" s="15" t="n"/>
      <c r="C322" s="15" t="n"/>
      <c r="D322" s="15" t="n"/>
      <c r="E322" s="15" t="n"/>
      <c r="F322" s="15" t="n"/>
      <c r="G322" s="15" t="n"/>
      <c r="H322" s="15" t="n"/>
      <c r="I322" s="15" t="n"/>
      <c r="J322" s="15" t="n"/>
      <c r="K322" s="15" t="n"/>
      <c r="L322" s="15" t="n"/>
      <c r="M322" s="15" t="n"/>
      <c r="N322" s="15" t="n"/>
    </row>
    <row r="323" ht="18" customHeight="1">
      <c r="A323" s="14" t="inlineStr">
        <is>
          <t>4o lugar</t>
        </is>
      </c>
      <c r="B323" s="15" t="n"/>
      <c r="C323" s="15" t="n"/>
      <c r="D323" s="15" t="n"/>
      <c r="E323" s="15" t="n"/>
      <c r="F323" s="15" t="n"/>
      <c r="G323" s="15" t="n"/>
      <c r="H323" s="15" t="n"/>
      <c r="I323" s="15" t="n"/>
      <c r="J323" s="15" t="n"/>
      <c r="K323" s="15" t="n"/>
      <c r="L323" s="15" t="n"/>
      <c r="M323" s="15" t="n"/>
      <c r="N323" s="15" t="n"/>
    </row>
    <row r="324" ht="18" customHeight="1">
      <c r="A324" s="14" t="inlineStr">
        <is>
          <t>5o lugar</t>
        </is>
      </c>
      <c r="B324" s="15" t="n"/>
      <c r="C324" s="15" t="n"/>
      <c r="D324" s="15" t="n"/>
      <c r="E324" s="15" t="n"/>
      <c r="F324" s="15" t="n"/>
      <c r="G324" s="15" t="n"/>
      <c r="H324" s="15" t="n"/>
      <c r="I324" s="15" t="n"/>
      <c r="J324" s="15" t="n"/>
      <c r="K324" s="15" t="n"/>
      <c r="L324" s="15" t="n"/>
      <c r="M324" s="15" t="n"/>
      <c r="N324" s="15" t="n"/>
    </row>
    <row r="325" ht="6" customHeight="1"/>
    <row r="326">
      <c r="A326" s="35" t="inlineStr">
        <is>
          <t>COBRANZA VENCIDA</t>
        </is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 t="n"/>
      <c r="L326" s="28" t="n"/>
      <c r="M326" s="28" t="n"/>
      <c r="N326" s="28" t="n"/>
    </row>
    <row r="327" ht="20" customHeight="1">
      <c r="A327" s="8" t="inlineStr">
        <is>
          <t>Total</t>
        </is>
      </c>
      <c r="B327" s="11" t="n"/>
    </row>
    <row r="328" ht="18" customHeight="1">
      <c r="A328" s="12" t="inlineStr">
        <is>
          <t>Top 5</t>
        </is>
      </c>
      <c r="C328" s="13" t="n"/>
      <c r="D328" s="13" t="n"/>
      <c r="E328" s="13" t="n"/>
      <c r="F328" s="13" t="n"/>
      <c r="G328" s="13" t="n"/>
      <c r="H328" s="13" t="n"/>
      <c r="I328" s="13" t="n"/>
      <c r="J328" s="13" t="n"/>
      <c r="K328" s="13" t="n"/>
      <c r="L328" s="13" t="n"/>
      <c r="M328" s="13" t="n"/>
      <c r="N328" s="13" t="n"/>
    </row>
    <row r="329" ht="18" customHeight="1">
      <c r="A329" s="14" t="inlineStr">
        <is>
          <t>1er lugar</t>
        </is>
      </c>
      <c r="B329" s="15" t="n"/>
      <c r="C329" s="15" t="n"/>
      <c r="D329" s="15" t="n"/>
      <c r="E329" s="15" t="n"/>
      <c r="F329" s="15" t="n"/>
      <c r="G329" s="15" t="n"/>
      <c r="H329" s="15" t="n"/>
      <c r="I329" s="15" t="n"/>
      <c r="J329" s="15" t="n"/>
      <c r="K329" s="15" t="n"/>
      <c r="L329" s="15" t="n"/>
      <c r="M329" s="15" t="n"/>
      <c r="N329" s="15" t="n"/>
    </row>
    <row r="330" ht="18" customHeight="1">
      <c r="A330" s="14" t="inlineStr">
        <is>
          <t>2o lugar</t>
        </is>
      </c>
      <c r="B330" s="15" t="n"/>
      <c r="C330" s="15" t="n"/>
      <c r="D330" s="15" t="n"/>
      <c r="E330" s="15" t="n"/>
      <c r="F330" s="15" t="n"/>
      <c r="G330" s="15" t="n"/>
      <c r="H330" s="15" t="n"/>
      <c r="I330" s="15" t="n"/>
      <c r="J330" s="15" t="n"/>
      <c r="K330" s="15" t="n"/>
      <c r="L330" s="15" t="n"/>
      <c r="M330" s="15" t="n"/>
      <c r="N330" s="15" t="n"/>
    </row>
    <row r="331" ht="18" customHeight="1">
      <c r="A331" s="14" t="inlineStr">
        <is>
          <t>3er lugar</t>
        </is>
      </c>
      <c r="B331" s="15" t="n"/>
      <c r="C331" s="15" t="n"/>
      <c r="D331" s="15" t="n"/>
      <c r="E331" s="15" t="n"/>
      <c r="F331" s="15" t="n"/>
      <c r="G331" s="15" t="n"/>
      <c r="H331" s="15" t="n"/>
      <c r="I331" s="15" t="n"/>
      <c r="J331" s="15" t="n"/>
      <c r="K331" s="15" t="n"/>
      <c r="L331" s="15" t="n"/>
      <c r="M331" s="15" t="n"/>
      <c r="N331" s="15" t="n"/>
    </row>
    <row r="332" ht="18" customHeight="1">
      <c r="A332" s="14" t="inlineStr">
        <is>
          <t>4o lugar</t>
        </is>
      </c>
      <c r="B332" s="15" t="n"/>
      <c r="C332" s="15" t="n"/>
      <c r="D332" s="15" t="n"/>
      <c r="E332" s="15" t="n"/>
      <c r="F332" s="15" t="n"/>
      <c r="G332" s="15" t="n"/>
      <c r="H332" s="15" t="n"/>
      <c r="I332" s="15" t="n"/>
      <c r="J332" s="15" t="n"/>
      <c r="K332" s="15" t="n"/>
      <c r="L332" s="15" t="n"/>
      <c r="M332" s="15" t="n"/>
      <c r="N332" s="15" t="n"/>
    </row>
    <row r="333" ht="18" customHeight="1">
      <c r="A333" s="14" t="inlineStr">
        <is>
          <t>5o lugar</t>
        </is>
      </c>
      <c r="B333" s="15" t="n"/>
      <c r="C333" s="15" t="n"/>
      <c r="D333" s="15" t="n"/>
      <c r="E333" s="15" t="n"/>
      <c r="F333" s="15" t="n"/>
      <c r="G333" s="15" t="n"/>
      <c r="H333" s="15" t="n"/>
      <c r="I333" s="15" t="n"/>
      <c r="J333" s="15" t="n"/>
      <c r="K333" s="15" t="n"/>
      <c r="L333" s="15" t="n"/>
      <c r="M333" s="15" t="n"/>
      <c r="N333" s="15" t="n"/>
    </row>
    <row r="334" ht="6" customHeight="1"/>
    <row r="335">
      <c r="A335" s="35" t="inlineStr">
        <is>
          <t>COBRANZA EFECTIVA</t>
        </is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 t="n"/>
      <c r="L335" s="28" t="n"/>
      <c r="M335" s="28" t="n"/>
      <c r="N335" s="28" t="n"/>
    </row>
    <row r="336" ht="20" customHeight="1">
      <c r="A336" s="16" t="inlineStr">
        <is>
          <t>Total</t>
        </is>
      </c>
      <c r="B336" s="17" t="n"/>
    </row>
    <row r="337" ht="18" customHeight="1">
      <c r="A337" s="12" t="inlineStr">
        <is>
          <t>Top 5</t>
        </is>
      </c>
      <c r="C337" s="13" t="n"/>
      <c r="D337" s="13" t="n"/>
      <c r="E337" s="13" t="n"/>
      <c r="F337" s="13" t="n"/>
      <c r="G337" s="13" t="n"/>
      <c r="H337" s="13" t="n"/>
      <c r="I337" s="13" t="n"/>
      <c r="J337" s="13" t="n"/>
      <c r="K337" s="13" t="n"/>
      <c r="L337" s="13" t="n"/>
      <c r="M337" s="13" t="n"/>
      <c r="N337" s="13" t="n"/>
    </row>
    <row r="338" ht="18" customHeight="1">
      <c r="A338" s="14" t="inlineStr">
        <is>
          <t>1er lugar</t>
        </is>
      </c>
      <c r="B338" s="15" t="n"/>
      <c r="C338" s="15" t="n"/>
      <c r="D338" s="15" t="n"/>
      <c r="E338" s="15" t="n"/>
      <c r="F338" s="15" t="n"/>
      <c r="G338" s="15" t="n"/>
      <c r="H338" s="15" t="n"/>
      <c r="I338" s="15" t="n"/>
      <c r="J338" s="15" t="n"/>
      <c r="K338" s="15" t="n"/>
      <c r="L338" s="15" t="n"/>
      <c r="M338" s="15" t="n"/>
      <c r="N338" s="15" t="n"/>
    </row>
    <row r="339" ht="18" customHeight="1">
      <c r="A339" s="14" t="inlineStr">
        <is>
          <t>2o lugar</t>
        </is>
      </c>
      <c r="B339" s="15" t="n"/>
      <c r="C339" s="15" t="n"/>
      <c r="D339" s="15" t="n"/>
      <c r="E339" s="15" t="n"/>
      <c r="F339" s="15" t="n"/>
      <c r="G339" s="15" t="n"/>
      <c r="H339" s="15" t="n"/>
      <c r="I339" s="15" t="n"/>
      <c r="J339" s="15" t="n"/>
      <c r="K339" s="15" t="n"/>
      <c r="L339" s="15" t="n"/>
      <c r="M339" s="15" t="n"/>
      <c r="N339" s="15" t="n"/>
    </row>
    <row r="340" ht="18" customHeight="1">
      <c r="A340" s="14" t="inlineStr">
        <is>
          <t>3er lugar</t>
        </is>
      </c>
      <c r="B340" s="15" t="n"/>
      <c r="C340" s="15" t="n"/>
      <c r="D340" s="15" t="n"/>
      <c r="E340" s="15" t="n"/>
      <c r="F340" s="15" t="n"/>
      <c r="G340" s="15" t="n"/>
      <c r="H340" s="15" t="n"/>
      <c r="I340" s="15" t="n"/>
      <c r="J340" s="15" t="n"/>
      <c r="K340" s="15" t="n"/>
      <c r="L340" s="15" t="n"/>
      <c r="M340" s="15" t="n"/>
      <c r="N340" s="15" t="n"/>
    </row>
    <row r="341" ht="18" customHeight="1">
      <c r="A341" s="14" t="inlineStr">
        <is>
          <t>4o lugar</t>
        </is>
      </c>
      <c r="B341" s="15" t="n"/>
      <c r="C341" s="15" t="n"/>
      <c r="D341" s="15" t="n"/>
      <c r="E341" s="15" t="n"/>
      <c r="F341" s="15" t="n"/>
      <c r="G341" s="15" t="n"/>
      <c r="H341" s="15" t="n"/>
      <c r="I341" s="15" t="n"/>
      <c r="J341" s="15" t="n"/>
      <c r="K341" s="15" t="n"/>
      <c r="L341" s="15" t="n"/>
      <c r="M341" s="15" t="n"/>
      <c r="N341" s="15" t="n"/>
    </row>
    <row r="342" ht="18" customHeight="1">
      <c r="A342" s="14" t="inlineStr">
        <is>
          <t>5o lugar</t>
        </is>
      </c>
      <c r="B342" s="15" t="n"/>
      <c r="C342" s="15" t="n"/>
      <c r="D342" s="15" t="n"/>
      <c r="E342" s="15" t="n"/>
      <c r="F342" s="15" t="n"/>
      <c r="G342" s="15" t="n"/>
      <c r="H342" s="15" t="n"/>
      <c r="I342" s="15" t="n"/>
      <c r="J342" s="15" t="n"/>
      <c r="K342" s="15" t="n"/>
      <c r="L342" s="15" t="n"/>
      <c r="M342" s="15" t="n"/>
      <c r="N342" s="15" t="n"/>
    </row>
    <row r="343" ht="6" customHeight="1"/>
    <row r="344">
      <c r="A344" s="35" t="inlineStr">
        <is>
          <t>COBRANZA RECUPERADA</t>
        </is>
      </c>
      <c r="B344" s="28" t="n"/>
      <c r="C344" s="28" t="n"/>
      <c r="D344" s="28" t="n"/>
      <c r="E344" s="28" t="n"/>
      <c r="F344" s="28" t="n"/>
      <c r="G344" s="28" t="n"/>
      <c r="H344" s="28" t="n"/>
      <c r="I344" s="28" t="n"/>
      <c r="J344" s="28" t="n"/>
      <c r="K344" s="28" t="n"/>
      <c r="L344" s="28" t="n"/>
      <c r="M344" s="28" t="n"/>
      <c r="N344" s="28" t="n"/>
    </row>
    <row r="345" ht="20" customHeight="1">
      <c r="A345" s="8" t="inlineStr">
        <is>
          <t>Total</t>
        </is>
      </c>
      <c r="B345" s="11" t="n"/>
    </row>
    <row r="346" ht="18" customHeight="1">
      <c r="A346" s="12" t="inlineStr">
        <is>
          <t>Top 5</t>
        </is>
      </c>
      <c r="C346" s="13" t="n"/>
      <c r="D346" s="13" t="n"/>
      <c r="E346" s="13" t="n"/>
      <c r="F346" s="13" t="n"/>
      <c r="G346" s="13" t="n"/>
      <c r="H346" s="13" t="n"/>
      <c r="I346" s="13" t="n"/>
      <c r="J346" s="13" t="n"/>
      <c r="K346" s="13" t="n"/>
      <c r="L346" s="13" t="n"/>
      <c r="M346" s="13" t="n"/>
      <c r="N346" s="13" t="n"/>
    </row>
    <row r="347" ht="18" customHeight="1">
      <c r="A347" s="14" t="inlineStr">
        <is>
          <t>1er lugar</t>
        </is>
      </c>
      <c r="B347" s="15" t="n"/>
      <c r="C347" s="15" t="n"/>
      <c r="D347" s="15" t="n"/>
      <c r="E347" s="15" t="n"/>
      <c r="F347" s="15" t="n"/>
      <c r="G347" s="15" t="n"/>
      <c r="H347" s="15" t="n"/>
      <c r="I347" s="15" t="n"/>
      <c r="J347" s="15" t="n"/>
      <c r="K347" s="15" t="n"/>
      <c r="L347" s="15" t="n"/>
      <c r="M347" s="15" t="n"/>
      <c r="N347" s="15" t="n"/>
    </row>
    <row r="348" ht="18" customHeight="1">
      <c r="A348" s="14" t="inlineStr">
        <is>
          <t>2o lugar</t>
        </is>
      </c>
      <c r="B348" s="15" t="n"/>
      <c r="C348" s="15" t="n"/>
      <c r="D348" s="15" t="n"/>
      <c r="E348" s="15" t="n"/>
      <c r="F348" s="15" t="n"/>
      <c r="G348" s="15" t="n"/>
      <c r="H348" s="15" t="n"/>
      <c r="I348" s="15" t="n"/>
      <c r="J348" s="15" t="n"/>
      <c r="K348" s="15" t="n"/>
      <c r="L348" s="15" t="n"/>
      <c r="M348" s="15" t="n"/>
      <c r="N348" s="15" t="n"/>
    </row>
    <row r="349" ht="18" customHeight="1">
      <c r="A349" s="14" t="inlineStr">
        <is>
          <t>3er lugar</t>
        </is>
      </c>
      <c r="B349" s="15" t="n"/>
      <c r="C349" s="15" t="n"/>
      <c r="D349" s="15" t="n"/>
      <c r="E349" s="15" t="n"/>
      <c r="F349" s="15" t="n"/>
      <c r="G349" s="15" t="n"/>
      <c r="H349" s="15" t="n"/>
      <c r="I349" s="15" t="n"/>
      <c r="J349" s="15" t="n"/>
      <c r="K349" s="15" t="n"/>
      <c r="L349" s="15" t="n"/>
      <c r="M349" s="15" t="n"/>
      <c r="N349" s="15" t="n"/>
    </row>
    <row r="350" ht="18" customHeight="1">
      <c r="A350" s="14" t="inlineStr">
        <is>
          <t>4o lugar</t>
        </is>
      </c>
      <c r="B350" s="15" t="n"/>
      <c r="C350" s="15" t="n"/>
      <c r="D350" s="15" t="n"/>
      <c r="E350" s="15" t="n"/>
      <c r="F350" s="15" t="n"/>
      <c r="G350" s="15" t="n"/>
      <c r="H350" s="15" t="n"/>
      <c r="I350" s="15" t="n"/>
      <c r="J350" s="15" t="n"/>
      <c r="K350" s="15" t="n"/>
      <c r="L350" s="15" t="n"/>
      <c r="M350" s="15" t="n"/>
      <c r="N350" s="15" t="n"/>
    </row>
    <row r="351" ht="18" customHeight="1">
      <c r="A351" s="14" t="inlineStr">
        <is>
          <t>5o lugar</t>
        </is>
      </c>
      <c r="B351" s="15" t="n"/>
      <c r="C351" s="15" t="n"/>
      <c r="D351" s="15" t="n"/>
      <c r="E351" s="15" t="n"/>
      <c r="F351" s="15" t="n"/>
      <c r="G351" s="15" t="n"/>
      <c r="H351" s="15" t="n"/>
      <c r="I351" s="15" t="n"/>
      <c r="J351" s="15" t="n"/>
      <c r="K351" s="15" t="n"/>
      <c r="L351" s="15" t="n"/>
      <c r="M351" s="15" t="n"/>
      <c r="N351" s="15" t="n"/>
    </row>
    <row r="352" ht="6" customHeight="1"/>
    <row r="353">
      <c r="A353" s="35" t="inlineStr">
        <is>
          <t>COBRANZA TOTAL GENERAL</t>
        </is>
      </c>
      <c r="B353" s="28" t="n"/>
      <c r="C353" s="28" t="n"/>
      <c r="D353" s="28" t="n"/>
      <c r="E353" s="28" t="n"/>
      <c r="F353" s="28" t="n"/>
      <c r="G353" s="28" t="n"/>
      <c r="H353" s="28" t="n"/>
      <c r="I353" s="28" t="n"/>
      <c r="J353" s="28" t="n"/>
      <c r="K353" s="28" t="n"/>
      <c r="L353" s="28" t="n"/>
      <c r="M353" s="28" t="n"/>
      <c r="N353" s="28" t="n"/>
    </row>
    <row r="354" ht="20" customHeight="1">
      <c r="A354" s="16" t="inlineStr">
        <is>
          <t>Total</t>
        </is>
      </c>
      <c r="B354" s="17" t="n"/>
    </row>
    <row r="355" ht="18" customHeight="1">
      <c r="A355" s="12" t="inlineStr">
        <is>
          <t>Top 5</t>
        </is>
      </c>
      <c r="C355" s="13" t="n"/>
      <c r="D355" s="13" t="n"/>
      <c r="E355" s="13" t="n"/>
      <c r="F355" s="13" t="n"/>
      <c r="G355" s="13" t="n"/>
      <c r="H355" s="13" t="n"/>
      <c r="I355" s="13" t="n"/>
      <c r="J355" s="13" t="n"/>
      <c r="K355" s="13" t="n"/>
      <c r="L355" s="13" t="n"/>
      <c r="M355" s="13" t="n"/>
      <c r="N355" s="13" t="n"/>
    </row>
    <row r="356" ht="18" customHeight="1">
      <c r="A356" s="14" t="inlineStr">
        <is>
          <t>1er lugar</t>
        </is>
      </c>
      <c r="B356" s="15" t="n"/>
      <c r="C356" s="15" t="n"/>
      <c r="D356" s="15" t="n"/>
      <c r="E356" s="15" t="n"/>
      <c r="F356" s="15" t="n"/>
      <c r="G356" s="15" t="n"/>
      <c r="H356" s="15" t="n"/>
      <c r="I356" s="15" t="n"/>
      <c r="J356" s="15" t="n"/>
      <c r="K356" s="15" t="n"/>
      <c r="L356" s="15" t="n"/>
      <c r="M356" s="15" t="n"/>
      <c r="N356" s="15" t="n"/>
    </row>
    <row r="357" ht="18" customHeight="1">
      <c r="A357" s="14" t="inlineStr">
        <is>
          <t>2o lugar</t>
        </is>
      </c>
      <c r="B357" s="15" t="n"/>
      <c r="C357" s="15" t="n"/>
      <c r="D357" s="15" t="n"/>
      <c r="E357" s="15" t="n"/>
      <c r="F357" s="15" t="n"/>
      <c r="G357" s="15" t="n"/>
      <c r="H357" s="15" t="n"/>
      <c r="I357" s="15" t="n"/>
      <c r="J357" s="15" t="n"/>
      <c r="K357" s="15" t="n"/>
      <c r="L357" s="15" t="n"/>
      <c r="M357" s="15" t="n"/>
      <c r="N357" s="15" t="n"/>
    </row>
    <row r="358" ht="18" customHeight="1">
      <c r="A358" s="14" t="inlineStr">
        <is>
          <t>3er lugar</t>
        </is>
      </c>
      <c r="B358" s="15" t="n"/>
      <c r="C358" s="15" t="n"/>
      <c r="D358" s="15" t="n"/>
      <c r="E358" s="15" t="n"/>
      <c r="F358" s="15" t="n"/>
      <c r="G358" s="15" t="n"/>
      <c r="H358" s="15" t="n"/>
      <c r="I358" s="15" t="n"/>
      <c r="J358" s="15" t="n"/>
      <c r="K358" s="15" t="n"/>
      <c r="L358" s="15" t="n"/>
      <c r="M358" s="15" t="n"/>
      <c r="N358" s="15" t="n"/>
    </row>
    <row r="359" ht="18" customHeight="1">
      <c r="A359" s="14" t="inlineStr">
        <is>
          <t>4o lugar</t>
        </is>
      </c>
      <c r="B359" s="15" t="n"/>
      <c r="C359" s="15" t="n"/>
      <c r="D359" s="15" t="n"/>
      <c r="E359" s="15" t="n"/>
      <c r="F359" s="15" t="n"/>
      <c r="G359" s="15" t="n"/>
      <c r="H359" s="15" t="n"/>
      <c r="I359" s="15" t="n"/>
      <c r="J359" s="15" t="n"/>
      <c r="K359" s="15" t="n"/>
      <c r="L359" s="15" t="n"/>
      <c r="M359" s="15" t="n"/>
      <c r="N359" s="15" t="n"/>
    </row>
    <row r="360" ht="18" customHeight="1">
      <c r="A360" s="14" t="inlineStr">
        <is>
          <t>5o lugar</t>
        </is>
      </c>
      <c r="B360" s="15" t="n"/>
      <c r="C360" s="15" t="n"/>
      <c r="D360" s="15" t="n"/>
      <c r="E360" s="15" t="n"/>
      <c r="F360" s="15" t="n"/>
      <c r="G360" s="15" t="n"/>
      <c r="H360" s="15" t="n"/>
      <c r="I360" s="15" t="n"/>
      <c r="J360" s="15" t="n"/>
      <c r="K360" s="15" t="n"/>
      <c r="L360" s="15" t="n"/>
      <c r="M360" s="15" t="n"/>
      <c r="N360" s="15" t="n"/>
    </row>
    <row r="361" ht="6" customHeight="1"/>
    <row r="362">
      <c r="A362" s="35" t="inlineStr">
        <is>
          <t>COBRANZA ADELANTADA F.</t>
        </is>
      </c>
      <c r="B362" s="28" t="n"/>
      <c r="C362" s="28" t="n"/>
      <c r="D362" s="28" t="n"/>
      <c r="E362" s="28" t="n"/>
      <c r="F362" s="28" t="n"/>
      <c r="G362" s="28" t="n"/>
      <c r="H362" s="28" t="n"/>
      <c r="I362" s="28" t="n"/>
      <c r="J362" s="28" t="n"/>
      <c r="K362" s="28" t="n"/>
      <c r="L362" s="28" t="n"/>
      <c r="M362" s="28" t="n"/>
      <c r="N362" s="28" t="n"/>
    </row>
    <row r="363" ht="20" customHeight="1">
      <c r="A363" s="8" t="inlineStr">
        <is>
          <t>Total</t>
        </is>
      </c>
      <c r="B363" s="11" t="n"/>
    </row>
    <row r="364" ht="18" customHeight="1">
      <c r="A364" s="12" t="inlineStr">
        <is>
          <t>Top 5</t>
        </is>
      </c>
      <c r="C364" s="13" t="n"/>
      <c r="D364" s="13" t="n"/>
      <c r="E364" s="13" t="n"/>
      <c r="F364" s="13" t="n"/>
      <c r="G364" s="13" t="n"/>
      <c r="H364" s="13" t="n"/>
      <c r="I364" s="13" t="n"/>
      <c r="J364" s="13" t="n"/>
      <c r="K364" s="13" t="n"/>
      <c r="L364" s="13" t="n"/>
      <c r="M364" s="13" t="n"/>
      <c r="N364" s="13" t="n"/>
    </row>
    <row r="365" ht="18" customHeight="1">
      <c r="A365" s="14" t="inlineStr">
        <is>
          <t>1er lugar</t>
        </is>
      </c>
      <c r="B365" s="15" t="n"/>
      <c r="C365" s="15" t="n"/>
      <c r="D365" s="15" t="n"/>
      <c r="E365" s="15" t="n"/>
      <c r="F365" s="15" t="n"/>
      <c r="G365" s="15" t="n"/>
      <c r="H365" s="15" t="n"/>
      <c r="I365" s="15" t="n"/>
      <c r="J365" s="15" t="n"/>
      <c r="K365" s="15" t="n"/>
      <c r="L365" s="15" t="n"/>
      <c r="M365" s="15" t="n"/>
      <c r="N365" s="15" t="n"/>
    </row>
    <row r="366" ht="18" customHeight="1">
      <c r="A366" s="14" t="inlineStr">
        <is>
          <t>2o lugar</t>
        </is>
      </c>
      <c r="B366" s="15" t="n"/>
      <c r="C366" s="15" t="n"/>
      <c r="D366" s="15" t="n"/>
      <c r="E366" s="15" t="n"/>
      <c r="F366" s="15" t="n"/>
      <c r="G366" s="15" t="n"/>
      <c r="H366" s="15" t="n"/>
      <c r="I366" s="15" t="n"/>
      <c r="J366" s="15" t="n"/>
      <c r="K366" s="15" t="n"/>
      <c r="L366" s="15" t="n"/>
      <c r="M366" s="15" t="n"/>
      <c r="N366" s="15" t="n"/>
    </row>
    <row r="367" ht="18" customHeight="1">
      <c r="A367" s="14" t="inlineStr">
        <is>
          <t>3er lugar</t>
        </is>
      </c>
      <c r="B367" s="15" t="n"/>
      <c r="C367" s="15" t="n"/>
      <c r="D367" s="15" t="n"/>
      <c r="E367" s="15" t="n"/>
      <c r="F367" s="15" t="n"/>
      <c r="G367" s="15" t="n"/>
      <c r="H367" s="15" t="n"/>
      <c r="I367" s="15" t="n"/>
      <c r="J367" s="15" t="n"/>
      <c r="K367" s="15" t="n"/>
      <c r="L367" s="15" t="n"/>
      <c r="M367" s="15" t="n"/>
      <c r="N367" s="15" t="n"/>
    </row>
    <row r="368" ht="18" customHeight="1">
      <c r="A368" s="14" t="inlineStr">
        <is>
          <t>4o lugar</t>
        </is>
      </c>
      <c r="B368" s="15" t="n"/>
      <c r="C368" s="15" t="n"/>
      <c r="D368" s="15" t="n"/>
      <c r="E368" s="15" t="n"/>
      <c r="F368" s="15" t="n"/>
      <c r="G368" s="15" t="n"/>
      <c r="H368" s="15" t="n"/>
      <c r="I368" s="15" t="n"/>
      <c r="J368" s="15" t="n"/>
      <c r="K368" s="15" t="n"/>
      <c r="L368" s="15" t="n"/>
      <c r="M368" s="15" t="n"/>
      <c r="N368" s="15" t="n"/>
    </row>
    <row r="369" ht="18" customHeight="1">
      <c r="A369" s="14" t="inlineStr">
        <is>
          <t>5o lugar</t>
        </is>
      </c>
      <c r="B369" s="15" t="n"/>
      <c r="C369" s="15" t="n"/>
      <c r="D369" s="15" t="n"/>
      <c r="E369" s="15" t="n"/>
      <c r="F369" s="15" t="n"/>
      <c r="G369" s="15" t="n"/>
      <c r="H369" s="15" t="n"/>
      <c r="I369" s="15" t="n"/>
      <c r="J369" s="15" t="n"/>
      <c r="K369" s="15" t="n"/>
      <c r="L369" s="15" t="n"/>
      <c r="M369" s="15" t="n"/>
      <c r="N369" s="15" t="n"/>
    </row>
    <row r="370" ht="6" customHeight="1"/>
    <row r="371">
      <c r="A371" s="82" t="inlineStr">
        <is>
          <t>PROYECCIÓN MAYO → MAYO</t>
        </is>
      </c>
      <c r="B371" s="28" t="n"/>
      <c r="C371" s="28" t="n"/>
      <c r="D371" s="28" t="n"/>
      <c r="E371" s="28" t="n"/>
      <c r="F371" s="28" t="n"/>
      <c r="G371" s="28" t="n"/>
      <c r="H371" s="28" t="n"/>
      <c r="I371" s="28" t="n"/>
      <c r="J371" s="28" t="n"/>
      <c r="K371" s="28" t="n"/>
      <c r="L371" s="28" t="n"/>
      <c r="M371" s="28" t="n"/>
      <c r="N371" s="28" t="n"/>
    </row>
    <row r="372">
      <c r="A372" s="19" t="inlineStr">
        <is>
          <t>Proyección MAYO</t>
        </is>
      </c>
      <c r="B372" s="20" t="n"/>
    </row>
    <row r="374" ht="14" customHeight="1"/>
    <row r="375" ht="22" customHeight="1">
      <c r="A375" s="4" t="inlineStr">
        <is>
          <t>JUNIO 2026</t>
        </is>
      </c>
    </row>
    <row r="376" ht="28" customHeight="1">
      <c r="A376" s="5" t="inlineStr">
        <is>
          <t>CONCEPTO</t>
        </is>
      </c>
      <c r="B376" s="5" t="inlineStr">
        <is>
          <t>TOTAL ($)</t>
        </is>
      </c>
      <c r="C376" s="5" t="inlineStr">
        <is>
          <t>TOP 1</t>
        </is>
      </c>
      <c r="D376" s="5" t="inlineStr">
        <is>
          <t>TOP 2</t>
        </is>
      </c>
      <c r="E376" s="5" t="inlineStr">
        <is>
          <t>TOP 3</t>
        </is>
      </c>
      <c r="F376" s="5" t="inlineStr">
        <is>
          <t>TOP 4</t>
        </is>
      </c>
      <c r="G376" s="5" t="inlineStr">
        <is>
          <t>TOP 5</t>
        </is>
      </c>
      <c r="H376" s="5" t="inlineStr">
        <is>
          <t>% TOP 1</t>
        </is>
      </c>
      <c r="I376" s="5" t="inlineStr">
        <is>
          <t>% TOP 2</t>
        </is>
      </c>
      <c r="J376" s="5" t="inlineStr">
        <is>
          <t>% TOP 3</t>
        </is>
      </c>
      <c r="K376" s="5" t="inlineStr">
        <is>
          <t>% TOP 4</t>
        </is>
      </c>
      <c r="L376" s="5" t="inlineStr">
        <is>
          <t>% TOP 5</t>
        </is>
      </c>
      <c r="M376" s="5" t="inlineStr">
        <is>
          <t>% ACUM.</t>
        </is>
      </c>
    </row>
    <row r="377">
      <c r="A377" s="35" t="inlineStr">
        <is>
          <t>DATOS GENERALES</t>
        </is>
      </c>
      <c r="B377" s="28" t="n"/>
      <c r="C377" s="28" t="n"/>
      <c r="D377" s="28" t="n"/>
      <c r="E377" s="28" t="n"/>
      <c r="F377" s="28" t="n"/>
      <c r="G377" s="28" t="n"/>
      <c r="H377" s="28" t="n"/>
      <c r="I377" s="28" t="n"/>
      <c r="J377" s="28" t="n"/>
      <c r="K377" s="28" t="n"/>
      <c r="L377" s="28" t="n"/>
      <c r="M377" s="28" t="n"/>
      <c r="N377" s="28" t="n"/>
    </row>
    <row r="378">
      <c r="A378" s="8" t="inlineStr">
        <is>
          <t>Mes</t>
        </is>
      </c>
      <c r="B378" s="9" t="inlineStr">
        <is>
          <t>JUNIO</t>
        </is>
      </c>
      <c r="E378" s="8" t="inlineStr">
        <is>
          <t>Año</t>
        </is>
      </c>
      <c r="F378" s="9" t="inlineStr">
        <is>
          <t>2026</t>
        </is>
      </c>
    </row>
    <row r="379">
      <c r="A379" s="8" t="inlineStr">
        <is>
          <t>Fecha de corte</t>
        </is>
      </c>
      <c r="B379" s="10" t="n"/>
      <c r="E379" s="8" t="inlineStr">
        <is>
          <t>Elaboró</t>
        </is>
      </c>
      <c r="F379" s="10" t="n"/>
    </row>
    <row r="380">
      <c r="A380" s="8" t="inlineStr">
        <is>
          <t>Reportado por</t>
        </is>
      </c>
      <c r="B380" s="10" t="n"/>
      <c r="E380" s="8" t="inlineStr">
        <is>
          <t>Cargo</t>
        </is>
      </c>
      <c r="F380" s="10" t="n"/>
    </row>
    <row r="381" ht="6" customHeight="1"/>
    <row r="382">
      <c r="A382" s="35" t="inlineStr">
        <is>
          <t>COBRANZA CORRIENTE</t>
        </is>
      </c>
      <c r="B382" s="28" t="n"/>
      <c r="C382" s="28" t="n"/>
      <c r="D382" s="28" t="n"/>
      <c r="E382" s="28" t="n"/>
      <c r="F382" s="28" t="n"/>
      <c r="G382" s="28" t="n"/>
      <c r="H382" s="28" t="n"/>
      <c r="I382" s="28" t="n"/>
      <c r="J382" s="28" t="n"/>
      <c r="K382" s="28" t="n"/>
      <c r="L382" s="28" t="n"/>
      <c r="M382" s="28" t="n"/>
      <c r="N382" s="28" t="n"/>
    </row>
    <row r="383" ht="20" customHeight="1">
      <c r="A383" s="8" t="inlineStr">
        <is>
          <t>Total</t>
        </is>
      </c>
      <c r="B383" s="11" t="n"/>
    </row>
    <row r="384" ht="18" customHeight="1">
      <c r="A384" s="12" t="inlineStr">
        <is>
          <t>Top 5</t>
        </is>
      </c>
      <c r="C384" s="13" t="n"/>
      <c r="D384" s="13" t="n"/>
      <c r="E384" s="13" t="n"/>
      <c r="F384" s="13" t="n"/>
      <c r="G384" s="13" t="n"/>
      <c r="H384" s="13" t="n"/>
      <c r="I384" s="13" t="n"/>
      <c r="J384" s="13" t="n"/>
      <c r="K384" s="13" t="n"/>
      <c r="L384" s="13" t="n"/>
      <c r="M384" s="13" t="n"/>
      <c r="N384" s="13" t="n"/>
    </row>
    <row r="385" ht="18" customHeight="1">
      <c r="A385" s="14" t="inlineStr">
        <is>
          <t>1er lugar</t>
        </is>
      </c>
      <c r="B385" s="15" t="n"/>
      <c r="C385" s="15" t="n"/>
      <c r="D385" s="15" t="n"/>
      <c r="E385" s="15" t="n"/>
      <c r="F385" s="15" t="n"/>
      <c r="G385" s="15" t="n"/>
      <c r="H385" s="15" t="n"/>
      <c r="I385" s="15" t="n"/>
      <c r="J385" s="15" t="n"/>
      <c r="K385" s="15" t="n"/>
      <c r="L385" s="15" t="n"/>
      <c r="M385" s="15" t="n"/>
      <c r="N385" s="15" t="n"/>
    </row>
    <row r="386" ht="18" customHeight="1">
      <c r="A386" s="14" t="inlineStr">
        <is>
          <t>2o lugar</t>
        </is>
      </c>
      <c r="B386" s="15" t="n"/>
      <c r="C386" s="15" t="n"/>
      <c r="D386" s="15" t="n"/>
      <c r="E386" s="15" t="n"/>
      <c r="F386" s="15" t="n"/>
      <c r="G386" s="15" t="n"/>
      <c r="H386" s="15" t="n"/>
      <c r="I386" s="15" t="n"/>
      <c r="J386" s="15" t="n"/>
      <c r="K386" s="15" t="n"/>
      <c r="L386" s="15" t="n"/>
      <c r="M386" s="15" t="n"/>
      <c r="N386" s="15" t="n"/>
    </row>
    <row r="387" ht="18" customHeight="1">
      <c r="A387" s="14" t="inlineStr">
        <is>
          <t>3er lugar</t>
        </is>
      </c>
      <c r="B387" s="15" t="n"/>
      <c r="C387" s="15" t="n"/>
      <c r="D387" s="15" t="n"/>
      <c r="E387" s="15" t="n"/>
      <c r="F387" s="15" t="n"/>
      <c r="G387" s="15" t="n"/>
      <c r="H387" s="15" t="n"/>
      <c r="I387" s="15" t="n"/>
      <c r="J387" s="15" t="n"/>
      <c r="K387" s="15" t="n"/>
      <c r="L387" s="15" t="n"/>
      <c r="M387" s="15" t="n"/>
      <c r="N387" s="15" t="n"/>
    </row>
    <row r="388" ht="18" customHeight="1">
      <c r="A388" s="14" t="inlineStr">
        <is>
          <t>4o lugar</t>
        </is>
      </c>
      <c r="B388" s="15" t="n"/>
      <c r="C388" s="15" t="n"/>
      <c r="D388" s="15" t="n"/>
      <c r="E388" s="15" t="n"/>
      <c r="F388" s="15" t="n"/>
      <c r="G388" s="15" t="n"/>
      <c r="H388" s="15" t="n"/>
      <c r="I388" s="15" t="n"/>
      <c r="J388" s="15" t="n"/>
      <c r="K388" s="15" t="n"/>
      <c r="L388" s="15" t="n"/>
      <c r="M388" s="15" t="n"/>
      <c r="N388" s="15" t="n"/>
    </row>
    <row r="389" ht="18" customHeight="1">
      <c r="A389" s="14" t="inlineStr">
        <is>
          <t>5o lugar</t>
        </is>
      </c>
      <c r="B389" s="15" t="n"/>
      <c r="C389" s="15" t="n"/>
      <c r="D389" s="15" t="n"/>
      <c r="E389" s="15" t="n"/>
      <c r="F389" s="15" t="n"/>
      <c r="G389" s="15" t="n"/>
      <c r="H389" s="15" t="n"/>
      <c r="I389" s="15" t="n"/>
      <c r="J389" s="15" t="n"/>
      <c r="K389" s="15" t="n"/>
      <c r="L389" s="15" t="n"/>
      <c r="M389" s="15" t="n"/>
      <c r="N389" s="15" t="n"/>
    </row>
    <row r="390" ht="6" customHeight="1"/>
    <row r="391">
      <c r="A391" s="35" t="inlineStr">
        <is>
          <t>CANCELACIONES</t>
        </is>
      </c>
      <c r="B391" s="28" t="n"/>
      <c r="C391" s="28" t="n"/>
      <c r="D391" s="28" t="n"/>
      <c r="E391" s="28" t="n"/>
      <c r="F391" s="28" t="n"/>
      <c r="G391" s="28" t="n"/>
      <c r="H391" s="28" t="n"/>
      <c r="I391" s="28" t="n"/>
      <c r="J391" s="28" t="n"/>
      <c r="K391" s="28" t="n"/>
      <c r="L391" s="28" t="n"/>
      <c r="M391" s="28" t="n"/>
      <c r="N391" s="28" t="n"/>
    </row>
    <row r="392" ht="20" customHeight="1">
      <c r="A392" s="16" t="inlineStr">
        <is>
          <t>Total</t>
        </is>
      </c>
      <c r="B392" s="17" t="n"/>
    </row>
    <row r="393" ht="18" customHeight="1">
      <c r="A393" s="12" t="inlineStr">
        <is>
          <t>Top 5</t>
        </is>
      </c>
      <c r="C393" s="13" t="n"/>
      <c r="D393" s="13" t="n"/>
      <c r="E393" s="13" t="n"/>
      <c r="F393" s="13" t="n"/>
      <c r="G393" s="13" t="n"/>
      <c r="H393" s="13" t="n"/>
      <c r="I393" s="13" t="n"/>
      <c r="J393" s="13" t="n"/>
      <c r="K393" s="13" t="n"/>
      <c r="L393" s="13" t="n"/>
      <c r="M393" s="13" t="n"/>
      <c r="N393" s="13" t="n"/>
    </row>
    <row r="394" ht="18" customHeight="1">
      <c r="A394" s="14" t="inlineStr">
        <is>
          <t>1er lugar</t>
        </is>
      </c>
      <c r="B394" s="15" t="n"/>
      <c r="C394" s="15" t="n"/>
      <c r="D394" s="15" t="n"/>
      <c r="E394" s="15" t="n"/>
      <c r="F394" s="15" t="n"/>
      <c r="G394" s="15" t="n"/>
      <c r="H394" s="15" t="n"/>
      <c r="I394" s="15" t="n"/>
      <c r="J394" s="15" t="n"/>
      <c r="K394" s="15" t="n"/>
      <c r="L394" s="15" t="n"/>
      <c r="M394" s="15" t="n"/>
      <c r="N394" s="15" t="n"/>
    </row>
    <row r="395" ht="18" customHeight="1">
      <c r="A395" s="14" t="inlineStr">
        <is>
          <t>2o lugar</t>
        </is>
      </c>
      <c r="B395" s="15" t="n"/>
      <c r="C395" s="15" t="n"/>
      <c r="D395" s="15" t="n"/>
      <c r="E395" s="15" t="n"/>
      <c r="F395" s="15" t="n"/>
      <c r="G395" s="15" t="n"/>
      <c r="H395" s="15" t="n"/>
      <c r="I395" s="15" t="n"/>
      <c r="J395" s="15" t="n"/>
      <c r="K395" s="15" t="n"/>
      <c r="L395" s="15" t="n"/>
      <c r="M395" s="15" t="n"/>
      <c r="N395" s="15" t="n"/>
    </row>
    <row r="396" ht="18" customHeight="1">
      <c r="A396" s="14" t="inlineStr">
        <is>
          <t>3er lugar</t>
        </is>
      </c>
      <c r="B396" s="15" t="n"/>
      <c r="C396" s="15" t="n"/>
      <c r="D396" s="15" t="n"/>
      <c r="E396" s="15" t="n"/>
      <c r="F396" s="15" t="n"/>
      <c r="G396" s="15" t="n"/>
      <c r="H396" s="15" t="n"/>
      <c r="I396" s="15" t="n"/>
      <c r="J396" s="15" t="n"/>
      <c r="K396" s="15" t="n"/>
      <c r="L396" s="15" t="n"/>
      <c r="M396" s="15" t="n"/>
      <c r="N396" s="15" t="n"/>
    </row>
    <row r="397" ht="18" customHeight="1">
      <c r="A397" s="14" t="inlineStr">
        <is>
          <t>4o lugar</t>
        </is>
      </c>
      <c r="B397" s="15" t="n"/>
      <c r="C397" s="15" t="n"/>
      <c r="D397" s="15" t="n"/>
      <c r="E397" s="15" t="n"/>
      <c r="F397" s="15" t="n"/>
      <c r="G397" s="15" t="n"/>
      <c r="H397" s="15" t="n"/>
      <c r="I397" s="15" t="n"/>
      <c r="J397" s="15" t="n"/>
      <c r="K397" s="15" t="n"/>
      <c r="L397" s="15" t="n"/>
      <c r="M397" s="15" t="n"/>
      <c r="N397" s="15" t="n"/>
    </row>
    <row r="398" ht="18" customHeight="1">
      <c r="A398" s="14" t="inlineStr">
        <is>
          <t>5o lugar</t>
        </is>
      </c>
      <c r="B398" s="15" t="n"/>
      <c r="C398" s="15" t="n"/>
      <c r="D398" s="15" t="n"/>
      <c r="E398" s="15" t="n"/>
      <c r="F398" s="15" t="n"/>
      <c r="G398" s="15" t="n"/>
      <c r="H398" s="15" t="n"/>
      <c r="I398" s="15" t="n"/>
      <c r="J398" s="15" t="n"/>
      <c r="K398" s="15" t="n"/>
      <c r="L398" s="15" t="n"/>
      <c r="M398" s="15" t="n"/>
      <c r="N398" s="15" t="n"/>
    </row>
    <row r="399" ht="6" customHeight="1"/>
    <row r="400">
      <c r="A400" s="35" t="inlineStr">
        <is>
          <t>COBRANZA VENCIDA</t>
        </is>
      </c>
      <c r="B400" s="28" t="n"/>
      <c r="C400" s="28" t="n"/>
      <c r="D400" s="28" t="n"/>
      <c r="E400" s="28" t="n"/>
      <c r="F400" s="28" t="n"/>
      <c r="G400" s="28" t="n"/>
      <c r="H400" s="28" t="n"/>
      <c r="I400" s="28" t="n"/>
      <c r="J400" s="28" t="n"/>
      <c r="K400" s="28" t="n"/>
      <c r="L400" s="28" t="n"/>
      <c r="M400" s="28" t="n"/>
      <c r="N400" s="28" t="n"/>
    </row>
    <row r="401" ht="20" customHeight="1">
      <c r="A401" s="8" t="inlineStr">
        <is>
          <t>Total</t>
        </is>
      </c>
      <c r="B401" s="11" t="n"/>
    </row>
    <row r="402" ht="18" customHeight="1">
      <c r="A402" s="12" t="inlineStr">
        <is>
          <t>Top 5</t>
        </is>
      </c>
      <c r="C402" s="13" t="n"/>
      <c r="D402" s="13" t="n"/>
      <c r="E402" s="13" t="n"/>
      <c r="F402" s="13" t="n"/>
      <c r="G402" s="13" t="n"/>
      <c r="H402" s="13" t="n"/>
      <c r="I402" s="13" t="n"/>
      <c r="J402" s="13" t="n"/>
      <c r="K402" s="13" t="n"/>
      <c r="L402" s="13" t="n"/>
      <c r="M402" s="13" t="n"/>
      <c r="N402" s="13" t="n"/>
    </row>
    <row r="403" ht="18" customHeight="1">
      <c r="A403" s="14" t="inlineStr">
        <is>
          <t>1er lugar</t>
        </is>
      </c>
      <c r="B403" s="15" t="n"/>
      <c r="C403" s="15" t="n"/>
      <c r="D403" s="15" t="n"/>
      <c r="E403" s="15" t="n"/>
      <c r="F403" s="15" t="n"/>
      <c r="G403" s="15" t="n"/>
      <c r="H403" s="15" t="n"/>
      <c r="I403" s="15" t="n"/>
      <c r="J403" s="15" t="n"/>
      <c r="K403" s="15" t="n"/>
      <c r="L403" s="15" t="n"/>
      <c r="M403" s="15" t="n"/>
      <c r="N403" s="15" t="n"/>
    </row>
    <row r="404" ht="18" customHeight="1">
      <c r="A404" s="14" t="inlineStr">
        <is>
          <t>2o lugar</t>
        </is>
      </c>
      <c r="B404" s="15" t="n"/>
      <c r="C404" s="15" t="n"/>
      <c r="D404" s="15" t="n"/>
      <c r="E404" s="15" t="n"/>
      <c r="F404" s="15" t="n"/>
      <c r="G404" s="15" t="n"/>
      <c r="H404" s="15" t="n"/>
      <c r="I404" s="15" t="n"/>
      <c r="J404" s="15" t="n"/>
      <c r="K404" s="15" t="n"/>
      <c r="L404" s="15" t="n"/>
      <c r="M404" s="15" t="n"/>
      <c r="N404" s="15" t="n"/>
    </row>
    <row r="405" ht="18" customHeight="1">
      <c r="A405" s="14" t="inlineStr">
        <is>
          <t>3er lugar</t>
        </is>
      </c>
      <c r="B405" s="15" t="n"/>
      <c r="C405" s="15" t="n"/>
      <c r="D405" s="15" t="n"/>
      <c r="E405" s="15" t="n"/>
      <c r="F405" s="15" t="n"/>
      <c r="G405" s="15" t="n"/>
      <c r="H405" s="15" t="n"/>
      <c r="I405" s="15" t="n"/>
      <c r="J405" s="15" t="n"/>
      <c r="K405" s="15" t="n"/>
      <c r="L405" s="15" t="n"/>
      <c r="M405" s="15" t="n"/>
      <c r="N405" s="15" t="n"/>
    </row>
    <row r="406" ht="18" customHeight="1">
      <c r="A406" s="14" t="inlineStr">
        <is>
          <t>4o lugar</t>
        </is>
      </c>
      <c r="B406" s="15" t="n"/>
      <c r="C406" s="15" t="n"/>
      <c r="D406" s="15" t="n"/>
      <c r="E406" s="15" t="n"/>
      <c r="F406" s="15" t="n"/>
      <c r="G406" s="15" t="n"/>
      <c r="H406" s="15" t="n"/>
      <c r="I406" s="15" t="n"/>
      <c r="J406" s="15" t="n"/>
      <c r="K406" s="15" t="n"/>
      <c r="L406" s="15" t="n"/>
      <c r="M406" s="15" t="n"/>
      <c r="N406" s="15" t="n"/>
    </row>
    <row r="407" ht="18" customHeight="1">
      <c r="A407" s="14" t="inlineStr">
        <is>
          <t>5o lugar</t>
        </is>
      </c>
      <c r="B407" s="15" t="n"/>
      <c r="C407" s="15" t="n"/>
      <c r="D407" s="15" t="n"/>
      <c r="E407" s="15" t="n"/>
      <c r="F407" s="15" t="n"/>
      <c r="G407" s="15" t="n"/>
      <c r="H407" s="15" t="n"/>
      <c r="I407" s="15" t="n"/>
      <c r="J407" s="15" t="n"/>
      <c r="K407" s="15" t="n"/>
      <c r="L407" s="15" t="n"/>
      <c r="M407" s="15" t="n"/>
      <c r="N407" s="15" t="n"/>
    </row>
    <row r="408" ht="6" customHeight="1"/>
    <row r="409">
      <c r="A409" s="35" t="inlineStr">
        <is>
          <t>COBRANZA EFECTIVA</t>
        </is>
      </c>
      <c r="B409" s="28" t="n"/>
      <c r="C409" s="28" t="n"/>
      <c r="D409" s="28" t="n"/>
      <c r="E409" s="28" t="n"/>
      <c r="F409" s="28" t="n"/>
      <c r="G409" s="28" t="n"/>
      <c r="H409" s="28" t="n"/>
      <c r="I409" s="28" t="n"/>
      <c r="J409" s="28" t="n"/>
      <c r="K409" s="28" t="n"/>
      <c r="L409" s="28" t="n"/>
      <c r="M409" s="28" t="n"/>
      <c r="N409" s="28" t="n"/>
    </row>
    <row r="410" ht="20" customHeight="1">
      <c r="A410" s="16" t="inlineStr">
        <is>
          <t>Total</t>
        </is>
      </c>
      <c r="B410" s="17" t="n"/>
    </row>
    <row r="411" ht="18" customHeight="1">
      <c r="A411" s="12" t="inlineStr">
        <is>
          <t>Top 5</t>
        </is>
      </c>
      <c r="C411" s="13" t="n"/>
      <c r="D411" s="13" t="n"/>
      <c r="E411" s="13" t="n"/>
      <c r="F411" s="13" t="n"/>
      <c r="G411" s="13" t="n"/>
      <c r="H411" s="13" t="n"/>
      <c r="I411" s="13" t="n"/>
      <c r="J411" s="13" t="n"/>
      <c r="K411" s="13" t="n"/>
      <c r="L411" s="13" t="n"/>
      <c r="M411" s="13" t="n"/>
      <c r="N411" s="13" t="n"/>
    </row>
    <row r="412" ht="18" customHeight="1">
      <c r="A412" s="14" t="inlineStr">
        <is>
          <t>1er lugar</t>
        </is>
      </c>
      <c r="B412" s="15" t="n"/>
      <c r="C412" s="15" t="n"/>
      <c r="D412" s="15" t="n"/>
      <c r="E412" s="15" t="n"/>
      <c r="F412" s="15" t="n"/>
      <c r="G412" s="15" t="n"/>
      <c r="H412" s="15" t="n"/>
      <c r="I412" s="15" t="n"/>
      <c r="J412" s="15" t="n"/>
      <c r="K412" s="15" t="n"/>
      <c r="L412" s="15" t="n"/>
      <c r="M412" s="15" t="n"/>
      <c r="N412" s="15" t="n"/>
    </row>
    <row r="413" ht="18" customHeight="1">
      <c r="A413" s="14" t="inlineStr">
        <is>
          <t>2o lugar</t>
        </is>
      </c>
      <c r="B413" s="15" t="n"/>
      <c r="C413" s="15" t="n"/>
      <c r="D413" s="15" t="n"/>
      <c r="E413" s="15" t="n"/>
      <c r="F413" s="15" t="n"/>
      <c r="G413" s="15" t="n"/>
      <c r="H413" s="15" t="n"/>
      <c r="I413" s="15" t="n"/>
      <c r="J413" s="15" t="n"/>
      <c r="K413" s="15" t="n"/>
      <c r="L413" s="15" t="n"/>
      <c r="M413" s="15" t="n"/>
      <c r="N413" s="15" t="n"/>
    </row>
    <row r="414" ht="18" customHeight="1">
      <c r="A414" s="14" t="inlineStr">
        <is>
          <t>3er lugar</t>
        </is>
      </c>
      <c r="B414" s="15" t="n"/>
      <c r="C414" s="15" t="n"/>
      <c r="D414" s="15" t="n"/>
      <c r="E414" s="15" t="n"/>
      <c r="F414" s="15" t="n"/>
      <c r="G414" s="15" t="n"/>
      <c r="H414" s="15" t="n"/>
      <c r="I414" s="15" t="n"/>
      <c r="J414" s="15" t="n"/>
      <c r="K414" s="15" t="n"/>
      <c r="L414" s="15" t="n"/>
      <c r="M414" s="15" t="n"/>
      <c r="N414" s="15" t="n"/>
    </row>
    <row r="415" ht="18" customHeight="1">
      <c r="A415" s="14" t="inlineStr">
        <is>
          <t>4o lugar</t>
        </is>
      </c>
      <c r="B415" s="15" t="n"/>
      <c r="C415" s="15" t="n"/>
      <c r="D415" s="15" t="n"/>
      <c r="E415" s="15" t="n"/>
      <c r="F415" s="15" t="n"/>
      <c r="G415" s="15" t="n"/>
      <c r="H415" s="15" t="n"/>
      <c r="I415" s="15" t="n"/>
      <c r="J415" s="15" t="n"/>
      <c r="K415" s="15" t="n"/>
      <c r="L415" s="15" t="n"/>
      <c r="M415" s="15" t="n"/>
      <c r="N415" s="15" t="n"/>
    </row>
    <row r="416" ht="18" customHeight="1">
      <c r="A416" s="14" t="inlineStr">
        <is>
          <t>5o lugar</t>
        </is>
      </c>
      <c r="B416" s="15" t="n"/>
      <c r="C416" s="15" t="n"/>
      <c r="D416" s="15" t="n"/>
      <c r="E416" s="15" t="n"/>
      <c r="F416" s="15" t="n"/>
      <c r="G416" s="15" t="n"/>
      <c r="H416" s="15" t="n"/>
      <c r="I416" s="15" t="n"/>
      <c r="J416" s="15" t="n"/>
      <c r="K416" s="15" t="n"/>
      <c r="L416" s="15" t="n"/>
      <c r="M416" s="15" t="n"/>
      <c r="N416" s="15" t="n"/>
    </row>
    <row r="417" ht="6" customHeight="1"/>
    <row r="418">
      <c r="A418" s="35" t="inlineStr">
        <is>
          <t>COBRANZA RECUPERADA</t>
        </is>
      </c>
      <c r="B418" s="28" t="n"/>
      <c r="C418" s="28" t="n"/>
      <c r="D418" s="28" t="n"/>
      <c r="E418" s="28" t="n"/>
      <c r="F418" s="28" t="n"/>
      <c r="G418" s="28" t="n"/>
      <c r="H418" s="28" t="n"/>
      <c r="I418" s="28" t="n"/>
      <c r="J418" s="28" t="n"/>
      <c r="K418" s="28" t="n"/>
      <c r="L418" s="28" t="n"/>
      <c r="M418" s="28" t="n"/>
      <c r="N418" s="28" t="n"/>
    </row>
    <row r="419" ht="20" customHeight="1">
      <c r="A419" s="8" t="inlineStr">
        <is>
          <t>Total</t>
        </is>
      </c>
      <c r="B419" s="11" t="n"/>
    </row>
    <row r="420" ht="18" customHeight="1">
      <c r="A420" s="12" t="inlineStr">
        <is>
          <t>Top 5</t>
        </is>
      </c>
      <c r="C420" s="13" t="n"/>
      <c r="D420" s="13" t="n"/>
      <c r="E420" s="13" t="n"/>
      <c r="F420" s="13" t="n"/>
      <c r="G420" s="13" t="n"/>
      <c r="H420" s="13" t="n"/>
      <c r="I420" s="13" t="n"/>
      <c r="J420" s="13" t="n"/>
      <c r="K420" s="13" t="n"/>
      <c r="L420" s="13" t="n"/>
      <c r="M420" s="13" t="n"/>
      <c r="N420" s="13" t="n"/>
    </row>
    <row r="421" ht="18" customHeight="1">
      <c r="A421" s="14" t="inlineStr">
        <is>
          <t>1er lugar</t>
        </is>
      </c>
      <c r="B421" s="15" t="n"/>
      <c r="C421" s="15" t="n"/>
      <c r="D421" s="15" t="n"/>
      <c r="E421" s="15" t="n"/>
      <c r="F421" s="15" t="n"/>
      <c r="G421" s="15" t="n"/>
      <c r="H421" s="15" t="n"/>
      <c r="I421" s="15" t="n"/>
      <c r="J421" s="15" t="n"/>
      <c r="K421" s="15" t="n"/>
      <c r="L421" s="15" t="n"/>
      <c r="M421" s="15" t="n"/>
      <c r="N421" s="15" t="n"/>
    </row>
    <row r="422" ht="18" customHeight="1">
      <c r="A422" s="14" t="inlineStr">
        <is>
          <t>2o lugar</t>
        </is>
      </c>
      <c r="B422" s="15" t="n"/>
      <c r="C422" s="15" t="n"/>
      <c r="D422" s="15" t="n"/>
      <c r="E422" s="15" t="n"/>
      <c r="F422" s="15" t="n"/>
      <c r="G422" s="15" t="n"/>
      <c r="H422" s="15" t="n"/>
      <c r="I422" s="15" t="n"/>
      <c r="J422" s="15" t="n"/>
      <c r="K422" s="15" t="n"/>
      <c r="L422" s="15" t="n"/>
      <c r="M422" s="15" t="n"/>
      <c r="N422" s="15" t="n"/>
    </row>
    <row r="423" ht="18" customHeight="1">
      <c r="A423" s="14" t="inlineStr">
        <is>
          <t>3er lugar</t>
        </is>
      </c>
      <c r="B423" s="15" t="n"/>
      <c r="C423" s="15" t="n"/>
      <c r="D423" s="15" t="n"/>
      <c r="E423" s="15" t="n"/>
      <c r="F423" s="15" t="n"/>
      <c r="G423" s="15" t="n"/>
      <c r="H423" s="15" t="n"/>
      <c r="I423" s="15" t="n"/>
      <c r="J423" s="15" t="n"/>
      <c r="K423" s="15" t="n"/>
      <c r="L423" s="15" t="n"/>
      <c r="M423" s="15" t="n"/>
      <c r="N423" s="15" t="n"/>
    </row>
    <row r="424" ht="18" customHeight="1">
      <c r="A424" s="14" t="inlineStr">
        <is>
          <t>4o lugar</t>
        </is>
      </c>
      <c r="B424" s="15" t="n"/>
      <c r="C424" s="15" t="n"/>
      <c r="D424" s="15" t="n"/>
      <c r="E424" s="15" t="n"/>
      <c r="F424" s="15" t="n"/>
      <c r="G424" s="15" t="n"/>
      <c r="H424" s="15" t="n"/>
      <c r="I424" s="15" t="n"/>
      <c r="J424" s="15" t="n"/>
      <c r="K424" s="15" t="n"/>
      <c r="L424" s="15" t="n"/>
      <c r="M424" s="15" t="n"/>
      <c r="N424" s="15" t="n"/>
    </row>
    <row r="425" ht="18" customHeight="1">
      <c r="A425" s="14" t="inlineStr">
        <is>
          <t>5o lugar</t>
        </is>
      </c>
      <c r="B425" s="15" t="n"/>
      <c r="C425" s="15" t="n"/>
      <c r="D425" s="15" t="n"/>
      <c r="E425" s="15" t="n"/>
      <c r="F425" s="15" t="n"/>
      <c r="G425" s="15" t="n"/>
      <c r="H425" s="15" t="n"/>
      <c r="I425" s="15" t="n"/>
      <c r="J425" s="15" t="n"/>
      <c r="K425" s="15" t="n"/>
      <c r="L425" s="15" t="n"/>
      <c r="M425" s="15" t="n"/>
      <c r="N425" s="15" t="n"/>
    </row>
    <row r="426" ht="6" customHeight="1"/>
    <row r="427">
      <c r="A427" s="35" t="inlineStr">
        <is>
          <t>COBRANZA TOTAL GENERAL</t>
        </is>
      </c>
      <c r="B427" s="28" t="n"/>
      <c r="C427" s="28" t="n"/>
      <c r="D427" s="28" t="n"/>
      <c r="E427" s="28" t="n"/>
      <c r="F427" s="28" t="n"/>
      <c r="G427" s="28" t="n"/>
      <c r="H427" s="28" t="n"/>
      <c r="I427" s="28" t="n"/>
      <c r="J427" s="28" t="n"/>
      <c r="K427" s="28" t="n"/>
      <c r="L427" s="28" t="n"/>
      <c r="M427" s="28" t="n"/>
      <c r="N427" s="28" t="n"/>
    </row>
    <row r="428" ht="20" customHeight="1">
      <c r="A428" s="16" t="inlineStr">
        <is>
          <t>Total</t>
        </is>
      </c>
      <c r="B428" s="17" t="n"/>
    </row>
    <row r="429" ht="18" customHeight="1">
      <c r="A429" s="12" t="inlineStr">
        <is>
          <t>Top 5</t>
        </is>
      </c>
      <c r="C429" s="13" t="n"/>
      <c r="D429" s="13" t="n"/>
      <c r="E429" s="13" t="n"/>
      <c r="F429" s="13" t="n"/>
      <c r="G429" s="13" t="n"/>
      <c r="H429" s="13" t="n"/>
      <c r="I429" s="13" t="n"/>
      <c r="J429" s="13" t="n"/>
      <c r="K429" s="13" t="n"/>
      <c r="L429" s="13" t="n"/>
      <c r="M429" s="13" t="n"/>
      <c r="N429" s="13" t="n"/>
    </row>
    <row r="430" ht="18" customHeight="1">
      <c r="A430" s="14" t="inlineStr">
        <is>
          <t>1er lugar</t>
        </is>
      </c>
      <c r="B430" s="15" t="n"/>
      <c r="C430" s="15" t="n"/>
      <c r="D430" s="15" t="n"/>
      <c r="E430" s="15" t="n"/>
      <c r="F430" s="15" t="n"/>
      <c r="G430" s="15" t="n"/>
      <c r="H430" s="15" t="n"/>
      <c r="I430" s="15" t="n"/>
      <c r="J430" s="15" t="n"/>
      <c r="K430" s="15" t="n"/>
      <c r="L430" s="15" t="n"/>
      <c r="M430" s="15" t="n"/>
      <c r="N430" s="15" t="n"/>
    </row>
    <row r="431" ht="18" customHeight="1">
      <c r="A431" s="14" t="inlineStr">
        <is>
          <t>2o lugar</t>
        </is>
      </c>
      <c r="B431" s="15" t="n"/>
      <c r="C431" s="15" t="n"/>
      <c r="D431" s="15" t="n"/>
      <c r="E431" s="15" t="n"/>
      <c r="F431" s="15" t="n"/>
      <c r="G431" s="15" t="n"/>
      <c r="H431" s="15" t="n"/>
      <c r="I431" s="15" t="n"/>
      <c r="J431" s="15" t="n"/>
      <c r="K431" s="15" t="n"/>
      <c r="L431" s="15" t="n"/>
      <c r="M431" s="15" t="n"/>
      <c r="N431" s="15" t="n"/>
    </row>
    <row r="432" ht="18" customHeight="1">
      <c r="A432" s="14" t="inlineStr">
        <is>
          <t>3er lugar</t>
        </is>
      </c>
      <c r="B432" s="15" t="n"/>
      <c r="C432" s="15" t="n"/>
      <c r="D432" s="15" t="n"/>
      <c r="E432" s="15" t="n"/>
      <c r="F432" s="15" t="n"/>
      <c r="G432" s="15" t="n"/>
      <c r="H432" s="15" t="n"/>
      <c r="I432" s="15" t="n"/>
      <c r="J432" s="15" t="n"/>
      <c r="K432" s="15" t="n"/>
      <c r="L432" s="15" t="n"/>
      <c r="M432" s="15" t="n"/>
      <c r="N432" s="15" t="n"/>
    </row>
    <row r="433" ht="18" customHeight="1">
      <c r="A433" s="14" t="inlineStr">
        <is>
          <t>4o lugar</t>
        </is>
      </c>
      <c r="B433" s="15" t="n"/>
      <c r="C433" s="15" t="n"/>
      <c r="D433" s="15" t="n"/>
      <c r="E433" s="15" t="n"/>
      <c r="F433" s="15" t="n"/>
      <c r="G433" s="15" t="n"/>
      <c r="H433" s="15" t="n"/>
      <c r="I433" s="15" t="n"/>
      <c r="J433" s="15" t="n"/>
      <c r="K433" s="15" t="n"/>
      <c r="L433" s="15" t="n"/>
      <c r="M433" s="15" t="n"/>
      <c r="N433" s="15" t="n"/>
    </row>
    <row r="434" ht="18" customHeight="1">
      <c r="A434" s="14" t="inlineStr">
        <is>
          <t>5o lugar</t>
        </is>
      </c>
      <c r="B434" s="15" t="n"/>
      <c r="C434" s="15" t="n"/>
      <c r="D434" s="15" t="n"/>
      <c r="E434" s="15" t="n"/>
      <c r="F434" s="15" t="n"/>
      <c r="G434" s="15" t="n"/>
      <c r="H434" s="15" t="n"/>
      <c r="I434" s="15" t="n"/>
      <c r="J434" s="15" t="n"/>
      <c r="K434" s="15" t="n"/>
      <c r="L434" s="15" t="n"/>
      <c r="M434" s="15" t="n"/>
      <c r="N434" s="15" t="n"/>
    </row>
    <row r="435" ht="6" customHeight="1"/>
    <row r="436">
      <c r="A436" s="35" t="inlineStr">
        <is>
          <t>COBRANZA ADELANTADA F.</t>
        </is>
      </c>
      <c r="B436" s="28" t="n"/>
      <c r="C436" s="28" t="n"/>
      <c r="D436" s="28" t="n"/>
      <c r="E436" s="28" t="n"/>
      <c r="F436" s="28" t="n"/>
      <c r="G436" s="28" t="n"/>
      <c r="H436" s="28" t="n"/>
      <c r="I436" s="28" t="n"/>
      <c r="J436" s="28" t="n"/>
      <c r="K436" s="28" t="n"/>
      <c r="L436" s="28" t="n"/>
      <c r="M436" s="28" t="n"/>
      <c r="N436" s="28" t="n"/>
    </row>
    <row r="437" ht="20" customHeight="1">
      <c r="A437" s="8" t="inlineStr">
        <is>
          <t>Total</t>
        </is>
      </c>
      <c r="B437" s="11" t="n"/>
    </row>
    <row r="438" ht="18" customHeight="1">
      <c r="A438" s="12" t="inlineStr">
        <is>
          <t>Top 5</t>
        </is>
      </c>
      <c r="C438" s="13" t="n"/>
      <c r="D438" s="13" t="n"/>
      <c r="E438" s="13" t="n"/>
      <c r="F438" s="13" t="n"/>
      <c r="G438" s="13" t="n"/>
      <c r="H438" s="13" t="n"/>
      <c r="I438" s="13" t="n"/>
      <c r="J438" s="13" t="n"/>
      <c r="K438" s="13" t="n"/>
      <c r="L438" s="13" t="n"/>
      <c r="M438" s="13" t="n"/>
      <c r="N438" s="13" t="n"/>
    </row>
    <row r="439" ht="18" customHeight="1">
      <c r="A439" s="14" t="inlineStr">
        <is>
          <t>1er lugar</t>
        </is>
      </c>
      <c r="B439" s="15" t="n"/>
      <c r="C439" s="15" t="n"/>
      <c r="D439" s="15" t="n"/>
      <c r="E439" s="15" t="n"/>
      <c r="F439" s="15" t="n"/>
      <c r="G439" s="15" t="n"/>
      <c r="H439" s="15" t="n"/>
      <c r="I439" s="15" t="n"/>
      <c r="J439" s="15" t="n"/>
      <c r="K439" s="15" t="n"/>
      <c r="L439" s="15" t="n"/>
      <c r="M439" s="15" t="n"/>
      <c r="N439" s="15" t="n"/>
    </row>
    <row r="440" ht="18" customHeight="1">
      <c r="A440" s="14" t="inlineStr">
        <is>
          <t>2o lugar</t>
        </is>
      </c>
      <c r="B440" s="15" t="n"/>
      <c r="C440" s="15" t="n"/>
      <c r="D440" s="15" t="n"/>
      <c r="E440" s="15" t="n"/>
      <c r="F440" s="15" t="n"/>
      <c r="G440" s="15" t="n"/>
      <c r="H440" s="15" t="n"/>
      <c r="I440" s="15" t="n"/>
      <c r="J440" s="15" t="n"/>
      <c r="K440" s="15" t="n"/>
      <c r="L440" s="15" t="n"/>
      <c r="M440" s="15" t="n"/>
      <c r="N440" s="15" t="n"/>
    </row>
    <row r="441" ht="18" customHeight="1">
      <c r="A441" s="14" t="inlineStr">
        <is>
          <t>3er lugar</t>
        </is>
      </c>
      <c r="B441" s="15" t="n"/>
      <c r="C441" s="15" t="n"/>
      <c r="D441" s="15" t="n"/>
      <c r="E441" s="15" t="n"/>
      <c r="F441" s="15" t="n"/>
      <c r="G441" s="15" t="n"/>
      <c r="H441" s="15" t="n"/>
      <c r="I441" s="15" t="n"/>
      <c r="J441" s="15" t="n"/>
      <c r="K441" s="15" t="n"/>
      <c r="L441" s="15" t="n"/>
      <c r="M441" s="15" t="n"/>
      <c r="N441" s="15" t="n"/>
    </row>
    <row r="442" ht="18" customHeight="1">
      <c r="A442" s="14" t="inlineStr">
        <is>
          <t>4o lugar</t>
        </is>
      </c>
      <c r="B442" s="15" t="n"/>
      <c r="C442" s="15" t="n"/>
      <c r="D442" s="15" t="n"/>
      <c r="E442" s="15" t="n"/>
      <c r="F442" s="15" t="n"/>
      <c r="G442" s="15" t="n"/>
      <c r="H442" s="15" t="n"/>
      <c r="I442" s="15" t="n"/>
      <c r="J442" s="15" t="n"/>
      <c r="K442" s="15" t="n"/>
      <c r="L442" s="15" t="n"/>
      <c r="M442" s="15" t="n"/>
      <c r="N442" s="15" t="n"/>
    </row>
    <row r="443" ht="18" customHeight="1">
      <c r="A443" s="14" t="inlineStr">
        <is>
          <t>5o lugar</t>
        </is>
      </c>
      <c r="B443" s="15" t="n"/>
      <c r="C443" s="15" t="n"/>
      <c r="D443" s="15" t="n"/>
      <c r="E443" s="15" t="n"/>
      <c r="F443" s="15" t="n"/>
      <c r="G443" s="15" t="n"/>
      <c r="H443" s="15" t="n"/>
      <c r="I443" s="15" t="n"/>
      <c r="J443" s="15" t="n"/>
      <c r="K443" s="15" t="n"/>
      <c r="L443" s="15" t="n"/>
      <c r="M443" s="15" t="n"/>
      <c r="N443" s="15" t="n"/>
    </row>
    <row r="444" ht="6" customHeight="1"/>
    <row r="445">
      <c r="A445" s="82" t="inlineStr">
        <is>
          <t>PROYECCIÓN JUNIO → JUNIO</t>
        </is>
      </c>
      <c r="B445" s="28" t="n"/>
      <c r="C445" s="28" t="n"/>
      <c r="D445" s="28" t="n"/>
      <c r="E445" s="28" t="n"/>
      <c r="F445" s="28" t="n"/>
      <c r="G445" s="28" t="n"/>
      <c r="H445" s="28" t="n"/>
      <c r="I445" s="28" t="n"/>
      <c r="J445" s="28" t="n"/>
      <c r="K445" s="28" t="n"/>
      <c r="L445" s="28" t="n"/>
      <c r="M445" s="28" t="n"/>
      <c r="N445" s="28" t="n"/>
    </row>
    <row r="446">
      <c r="A446" s="19" t="inlineStr">
        <is>
          <t>Proyección JUNIO</t>
        </is>
      </c>
      <c r="B446" s="20" t="n"/>
    </row>
    <row r="448" ht="14" customHeight="1"/>
    <row r="449" ht="22" customHeight="1">
      <c r="A449" s="4" t="inlineStr">
        <is>
          <t>JULIO 2026</t>
        </is>
      </c>
    </row>
    <row r="450" ht="28" customHeight="1">
      <c r="A450" s="5" t="inlineStr">
        <is>
          <t>CONCEPTO</t>
        </is>
      </c>
      <c r="B450" s="5" t="inlineStr">
        <is>
          <t>TOTAL ($)</t>
        </is>
      </c>
      <c r="C450" s="5" t="inlineStr">
        <is>
          <t>TOP 1</t>
        </is>
      </c>
      <c r="D450" s="5" t="inlineStr">
        <is>
          <t>TOP 2</t>
        </is>
      </c>
      <c r="E450" s="5" t="inlineStr">
        <is>
          <t>TOP 3</t>
        </is>
      </c>
      <c r="F450" s="5" t="inlineStr">
        <is>
          <t>TOP 4</t>
        </is>
      </c>
      <c r="G450" s="5" t="inlineStr">
        <is>
          <t>TOP 5</t>
        </is>
      </c>
      <c r="H450" s="5" t="inlineStr">
        <is>
          <t>% TOP 1</t>
        </is>
      </c>
      <c r="I450" s="5" t="inlineStr">
        <is>
          <t>% TOP 2</t>
        </is>
      </c>
      <c r="J450" s="5" t="inlineStr">
        <is>
          <t>% TOP 3</t>
        </is>
      </c>
      <c r="K450" s="5" t="inlineStr">
        <is>
          <t>% TOP 4</t>
        </is>
      </c>
      <c r="L450" s="5" t="inlineStr">
        <is>
          <t>% TOP 5</t>
        </is>
      </c>
      <c r="M450" s="5" t="inlineStr">
        <is>
          <t>% ACUM.</t>
        </is>
      </c>
    </row>
    <row r="451">
      <c r="A451" s="35" t="inlineStr">
        <is>
          <t>DATOS GENERALES</t>
        </is>
      </c>
      <c r="B451" s="28" t="n"/>
      <c r="C451" s="28" t="n"/>
      <c r="D451" s="28" t="n"/>
      <c r="E451" s="28" t="n"/>
      <c r="F451" s="28" t="n"/>
      <c r="G451" s="28" t="n"/>
      <c r="H451" s="28" t="n"/>
      <c r="I451" s="28" t="n"/>
      <c r="J451" s="28" t="n"/>
      <c r="K451" s="28" t="n"/>
      <c r="L451" s="28" t="n"/>
      <c r="M451" s="28" t="n"/>
      <c r="N451" s="28" t="n"/>
    </row>
    <row r="452">
      <c r="A452" s="8" t="inlineStr">
        <is>
          <t>Mes</t>
        </is>
      </c>
      <c r="B452" s="9" t="inlineStr">
        <is>
          <t>JULIO</t>
        </is>
      </c>
      <c r="E452" s="8" t="inlineStr">
        <is>
          <t>Año</t>
        </is>
      </c>
      <c r="F452" s="9" t="inlineStr">
        <is>
          <t>2026</t>
        </is>
      </c>
    </row>
    <row r="453">
      <c r="A453" s="8" t="inlineStr">
        <is>
          <t>Fecha de corte</t>
        </is>
      </c>
      <c r="B453" s="10" t="n"/>
      <c r="E453" s="8" t="inlineStr">
        <is>
          <t>Elaboró</t>
        </is>
      </c>
      <c r="F453" s="10" t="n"/>
    </row>
    <row r="454">
      <c r="A454" s="8" t="inlineStr">
        <is>
          <t>Reportado por</t>
        </is>
      </c>
      <c r="B454" s="10" t="n"/>
      <c r="E454" s="8" t="inlineStr">
        <is>
          <t>Cargo</t>
        </is>
      </c>
      <c r="F454" s="10" t="n"/>
    </row>
    <row r="455" ht="6" customHeight="1"/>
    <row r="456">
      <c r="A456" s="35" t="inlineStr">
        <is>
          <t>COBRANZA CORRIENTE</t>
        </is>
      </c>
      <c r="B456" s="28" t="n"/>
      <c r="C456" s="28" t="n"/>
      <c r="D456" s="28" t="n"/>
      <c r="E456" s="28" t="n"/>
      <c r="F456" s="28" t="n"/>
      <c r="G456" s="28" t="n"/>
      <c r="H456" s="28" t="n"/>
      <c r="I456" s="28" t="n"/>
      <c r="J456" s="28" t="n"/>
      <c r="K456" s="28" t="n"/>
      <c r="L456" s="28" t="n"/>
      <c r="M456" s="28" t="n"/>
      <c r="N456" s="28" t="n"/>
    </row>
    <row r="457" ht="20" customHeight="1">
      <c r="A457" s="8" t="inlineStr">
        <is>
          <t>Total</t>
        </is>
      </c>
      <c r="B457" s="11" t="n"/>
    </row>
    <row r="458" ht="18" customHeight="1">
      <c r="A458" s="12" t="inlineStr">
        <is>
          <t>Top 5</t>
        </is>
      </c>
      <c r="C458" s="13" t="n"/>
      <c r="D458" s="13" t="n"/>
      <c r="E458" s="13" t="n"/>
      <c r="F458" s="13" t="n"/>
      <c r="G458" s="13" t="n"/>
      <c r="H458" s="13" t="n"/>
      <c r="I458" s="13" t="n"/>
      <c r="J458" s="13" t="n"/>
      <c r="K458" s="13" t="n"/>
      <c r="L458" s="13" t="n"/>
      <c r="M458" s="13" t="n"/>
      <c r="N458" s="13" t="n"/>
    </row>
    <row r="459" ht="18" customHeight="1">
      <c r="A459" s="14" t="inlineStr">
        <is>
          <t>1er lugar</t>
        </is>
      </c>
      <c r="B459" s="15" t="n"/>
      <c r="C459" s="15" t="n"/>
      <c r="D459" s="15" t="n"/>
      <c r="E459" s="15" t="n"/>
      <c r="F459" s="15" t="n"/>
      <c r="G459" s="15" t="n"/>
      <c r="H459" s="15" t="n"/>
      <c r="I459" s="15" t="n"/>
      <c r="J459" s="15" t="n"/>
      <c r="K459" s="15" t="n"/>
      <c r="L459" s="15" t="n"/>
      <c r="M459" s="15" t="n"/>
      <c r="N459" s="15" t="n"/>
    </row>
    <row r="460" ht="18" customHeight="1">
      <c r="A460" s="14" t="inlineStr">
        <is>
          <t>2o lugar</t>
        </is>
      </c>
      <c r="B460" s="15" t="n"/>
      <c r="C460" s="15" t="n"/>
      <c r="D460" s="15" t="n"/>
      <c r="E460" s="15" t="n"/>
      <c r="F460" s="15" t="n"/>
      <c r="G460" s="15" t="n"/>
      <c r="H460" s="15" t="n"/>
      <c r="I460" s="15" t="n"/>
      <c r="J460" s="15" t="n"/>
      <c r="K460" s="15" t="n"/>
      <c r="L460" s="15" t="n"/>
      <c r="M460" s="15" t="n"/>
      <c r="N460" s="15" t="n"/>
    </row>
    <row r="461" ht="18" customHeight="1">
      <c r="A461" s="14" t="inlineStr">
        <is>
          <t>3er lugar</t>
        </is>
      </c>
      <c r="B461" s="15" t="n"/>
      <c r="C461" s="15" t="n"/>
      <c r="D461" s="15" t="n"/>
      <c r="E461" s="15" t="n"/>
      <c r="F461" s="15" t="n"/>
      <c r="G461" s="15" t="n"/>
      <c r="H461" s="15" t="n"/>
      <c r="I461" s="15" t="n"/>
      <c r="J461" s="15" t="n"/>
      <c r="K461" s="15" t="n"/>
      <c r="L461" s="15" t="n"/>
      <c r="M461" s="15" t="n"/>
      <c r="N461" s="15" t="n"/>
    </row>
    <row r="462" ht="18" customHeight="1">
      <c r="A462" s="14" t="inlineStr">
        <is>
          <t>4o lugar</t>
        </is>
      </c>
      <c r="B462" s="15" t="n"/>
      <c r="C462" s="15" t="n"/>
      <c r="D462" s="15" t="n"/>
      <c r="E462" s="15" t="n"/>
      <c r="F462" s="15" t="n"/>
      <c r="G462" s="15" t="n"/>
      <c r="H462" s="15" t="n"/>
      <c r="I462" s="15" t="n"/>
      <c r="J462" s="15" t="n"/>
      <c r="K462" s="15" t="n"/>
      <c r="L462" s="15" t="n"/>
      <c r="M462" s="15" t="n"/>
      <c r="N462" s="15" t="n"/>
    </row>
    <row r="463" ht="18" customHeight="1">
      <c r="A463" s="14" t="inlineStr">
        <is>
          <t>5o lugar</t>
        </is>
      </c>
      <c r="B463" s="15" t="n"/>
      <c r="C463" s="15" t="n"/>
      <c r="D463" s="15" t="n"/>
      <c r="E463" s="15" t="n"/>
      <c r="F463" s="15" t="n"/>
      <c r="G463" s="15" t="n"/>
      <c r="H463" s="15" t="n"/>
      <c r="I463" s="15" t="n"/>
      <c r="J463" s="15" t="n"/>
      <c r="K463" s="15" t="n"/>
      <c r="L463" s="15" t="n"/>
      <c r="M463" s="15" t="n"/>
      <c r="N463" s="15" t="n"/>
    </row>
    <row r="464" ht="6" customHeight="1"/>
    <row r="465">
      <c r="A465" s="35" t="inlineStr">
        <is>
          <t>CANCELACIONES</t>
        </is>
      </c>
      <c r="B465" s="28" t="n"/>
      <c r="C465" s="28" t="n"/>
      <c r="D465" s="28" t="n"/>
      <c r="E465" s="28" t="n"/>
      <c r="F465" s="28" t="n"/>
      <c r="G465" s="28" t="n"/>
      <c r="H465" s="28" t="n"/>
      <c r="I465" s="28" t="n"/>
      <c r="J465" s="28" t="n"/>
      <c r="K465" s="28" t="n"/>
      <c r="L465" s="28" t="n"/>
      <c r="M465" s="28" t="n"/>
      <c r="N465" s="28" t="n"/>
    </row>
    <row r="466" ht="20" customHeight="1">
      <c r="A466" s="16" t="inlineStr">
        <is>
          <t>Total</t>
        </is>
      </c>
      <c r="B466" s="17" t="n"/>
    </row>
    <row r="467" ht="18" customHeight="1">
      <c r="A467" s="12" t="inlineStr">
        <is>
          <t>Top 5</t>
        </is>
      </c>
      <c r="C467" s="13" t="n"/>
      <c r="D467" s="13" t="n"/>
      <c r="E467" s="13" t="n"/>
      <c r="F467" s="13" t="n"/>
      <c r="G467" s="13" t="n"/>
      <c r="H467" s="13" t="n"/>
      <c r="I467" s="13" t="n"/>
      <c r="J467" s="13" t="n"/>
      <c r="K467" s="13" t="n"/>
      <c r="L467" s="13" t="n"/>
      <c r="M467" s="13" t="n"/>
      <c r="N467" s="13" t="n"/>
    </row>
    <row r="468" ht="18" customHeight="1">
      <c r="A468" s="14" t="inlineStr">
        <is>
          <t>1er lugar</t>
        </is>
      </c>
      <c r="B468" s="15" t="n"/>
      <c r="C468" s="15" t="n"/>
      <c r="D468" s="15" t="n"/>
      <c r="E468" s="15" t="n"/>
      <c r="F468" s="15" t="n"/>
      <c r="G468" s="15" t="n"/>
      <c r="H468" s="15" t="n"/>
      <c r="I468" s="15" t="n"/>
      <c r="J468" s="15" t="n"/>
      <c r="K468" s="15" t="n"/>
      <c r="L468" s="15" t="n"/>
      <c r="M468" s="15" t="n"/>
      <c r="N468" s="15" t="n"/>
    </row>
    <row r="469" ht="18" customHeight="1">
      <c r="A469" s="14" t="inlineStr">
        <is>
          <t>2o lugar</t>
        </is>
      </c>
      <c r="B469" s="15" t="n"/>
      <c r="C469" s="15" t="n"/>
      <c r="D469" s="15" t="n"/>
      <c r="E469" s="15" t="n"/>
      <c r="F469" s="15" t="n"/>
      <c r="G469" s="15" t="n"/>
      <c r="H469" s="15" t="n"/>
      <c r="I469" s="15" t="n"/>
      <c r="J469" s="15" t="n"/>
      <c r="K469" s="15" t="n"/>
      <c r="L469" s="15" t="n"/>
      <c r="M469" s="15" t="n"/>
      <c r="N469" s="15" t="n"/>
    </row>
    <row r="470" ht="18" customHeight="1">
      <c r="A470" s="14" t="inlineStr">
        <is>
          <t>3er lugar</t>
        </is>
      </c>
      <c r="B470" s="15" t="n"/>
      <c r="C470" s="15" t="n"/>
      <c r="D470" s="15" t="n"/>
      <c r="E470" s="15" t="n"/>
      <c r="F470" s="15" t="n"/>
      <c r="G470" s="15" t="n"/>
      <c r="H470" s="15" t="n"/>
      <c r="I470" s="15" t="n"/>
      <c r="J470" s="15" t="n"/>
      <c r="K470" s="15" t="n"/>
      <c r="L470" s="15" t="n"/>
      <c r="M470" s="15" t="n"/>
      <c r="N470" s="15" t="n"/>
    </row>
    <row r="471" ht="18" customHeight="1">
      <c r="A471" s="14" t="inlineStr">
        <is>
          <t>4o lugar</t>
        </is>
      </c>
      <c r="B471" s="15" t="n"/>
      <c r="C471" s="15" t="n"/>
      <c r="D471" s="15" t="n"/>
      <c r="E471" s="15" t="n"/>
      <c r="F471" s="15" t="n"/>
      <c r="G471" s="15" t="n"/>
      <c r="H471" s="15" t="n"/>
      <c r="I471" s="15" t="n"/>
      <c r="J471" s="15" t="n"/>
      <c r="K471" s="15" t="n"/>
      <c r="L471" s="15" t="n"/>
      <c r="M471" s="15" t="n"/>
      <c r="N471" s="15" t="n"/>
    </row>
    <row r="472" ht="18" customHeight="1">
      <c r="A472" s="14" t="inlineStr">
        <is>
          <t>5o lugar</t>
        </is>
      </c>
      <c r="B472" s="15" t="n"/>
      <c r="C472" s="15" t="n"/>
      <c r="D472" s="15" t="n"/>
      <c r="E472" s="15" t="n"/>
      <c r="F472" s="15" t="n"/>
      <c r="G472" s="15" t="n"/>
      <c r="H472" s="15" t="n"/>
      <c r="I472" s="15" t="n"/>
      <c r="J472" s="15" t="n"/>
      <c r="K472" s="15" t="n"/>
      <c r="L472" s="15" t="n"/>
      <c r="M472" s="15" t="n"/>
      <c r="N472" s="15" t="n"/>
    </row>
    <row r="473" ht="6" customHeight="1"/>
    <row r="474">
      <c r="A474" s="35" t="inlineStr">
        <is>
          <t>COBRANZA VENCIDA</t>
        </is>
      </c>
      <c r="B474" s="28" t="n"/>
      <c r="C474" s="28" t="n"/>
      <c r="D474" s="28" t="n"/>
      <c r="E474" s="28" t="n"/>
      <c r="F474" s="28" t="n"/>
      <c r="G474" s="28" t="n"/>
      <c r="H474" s="28" t="n"/>
      <c r="I474" s="28" t="n"/>
      <c r="J474" s="28" t="n"/>
      <c r="K474" s="28" t="n"/>
      <c r="L474" s="28" t="n"/>
      <c r="M474" s="28" t="n"/>
      <c r="N474" s="28" t="n"/>
    </row>
    <row r="475" ht="20" customHeight="1">
      <c r="A475" s="8" t="inlineStr">
        <is>
          <t>Total</t>
        </is>
      </c>
      <c r="B475" s="11" t="n"/>
    </row>
    <row r="476" ht="18" customHeight="1">
      <c r="A476" s="12" t="inlineStr">
        <is>
          <t>Top 5</t>
        </is>
      </c>
      <c r="C476" s="13" t="n"/>
      <c r="D476" s="13" t="n"/>
      <c r="E476" s="13" t="n"/>
      <c r="F476" s="13" t="n"/>
      <c r="G476" s="13" t="n"/>
      <c r="H476" s="13" t="n"/>
      <c r="I476" s="13" t="n"/>
      <c r="J476" s="13" t="n"/>
      <c r="K476" s="13" t="n"/>
      <c r="L476" s="13" t="n"/>
      <c r="M476" s="13" t="n"/>
      <c r="N476" s="13" t="n"/>
    </row>
    <row r="477" ht="18" customHeight="1">
      <c r="A477" s="14" t="inlineStr">
        <is>
          <t>1er lugar</t>
        </is>
      </c>
      <c r="B477" s="15" t="n"/>
      <c r="C477" s="15" t="n"/>
      <c r="D477" s="15" t="n"/>
      <c r="E477" s="15" t="n"/>
      <c r="F477" s="15" t="n"/>
      <c r="G477" s="15" t="n"/>
      <c r="H477" s="15" t="n"/>
      <c r="I477" s="15" t="n"/>
      <c r="J477" s="15" t="n"/>
      <c r="K477" s="15" t="n"/>
      <c r="L477" s="15" t="n"/>
      <c r="M477" s="15" t="n"/>
      <c r="N477" s="15" t="n"/>
    </row>
    <row r="478" ht="18" customHeight="1">
      <c r="A478" s="14" t="inlineStr">
        <is>
          <t>2o lugar</t>
        </is>
      </c>
      <c r="B478" s="15" t="n"/>
      <c r="C478" s="15" t="n"/>
      <c r="D478" s="15" t="n"/>
      <c r="E478" s="15" t="n"/>
      <c r="F478" s="15" t="n"/>
      <c r="G478" s="15" t="n"/>
      <c r="H478" s="15" t="n"/>
      <c r="I478" s="15" t="n"/>
      <c r="J478" s="15" t="n"/>
      <c r="K478" s="15" t="n"/>
      <c r="L478" s="15" t="n"/>
      <c r="M478" s="15" t="n"/>
      <c r="N478" s="15" t="n"/>
    </row>
    <row r="479" ht="18" customHeight="1">
      <c r="A479" s="14" t="inlineStr">
        <is>
          <t>3er lugar</t>
        </is>
      </c>
      <c r="B479" s="15" t="n"/>
      <c r="C479" s="15" t="n"/>
      <c r="D479" s="15" t="n"/>
      <c r="E479" s="15" t="n"/>
      <c r="F479" s="15" t="n"/>
      <c r="G479" s="15" t="n"/>
      <c r="H479" s="15" t="n"/>
      <c r="I479" s="15" t="n"/>
      <c r="J479" s="15" t="n"/>
      <c r="K479" s="15" t="n"/>
      <c r="L479" s="15" t="n"/>
      <c r="M479" s="15" t="n"/>
      <c r="N479" s="15" t="n"/>
    </row>
    <row r="480" ht="18" customHeight="1">
      <c r="A480" s="14" t="inlineStr">
        <is>
          <t>4o lugar</t>
        </is>
      </c>
      <c r="B480" s="15" t="n"/>
      <c r="C480" s="15" t="n"/>
      <c r="D480" s="15" t="n"/>
      <c r="E480" s="15" t="n"/>
      <c r="F480" s="15" t="n"/>
      <c r="G480" s="15" t="n"/>
      <c r="H480" s="15" t="n"/>
      <c r="I480" s="15" t="n"/>
      <c r="J480" s="15" t="n"/>
      <c r="K480" s="15" t="n"/>
      <c r="L480" s="15" t="n"/>
      <c r="M480" s="15" t="n"/>
      <c r="N480" s="15" t="n"/>
    </row>
    <row r="481" ht="18" customHeight="1">
      <c r="A481" s="14" t="inlineStr">
        <is>
          <t>5o lugar</t>
        </is>
      </c>
      <c r="B481" s="15" t="n"/>
      <c r="C481" s="15" t="n"/>
      <c r="D481" s="15" t="n"/>
      <c r="E481" s="15" t="n"/>
      <c r="F481" s="15" t="n"/>
      <c r="G481" s="15" t="n"/>
      <c r="H481" s="15" t="n"/>
      <c r="I481" s="15" t="n"/>
      <c r="J481" s="15" t="n"/>
      <c r="K481" s="15" t="n"/>
      <c r="L481" s="15" t="n"/>
      <c r="M481" s="15" t="n"/>
      <c r="N481" s="15" t="n"/>
    </row>
    <row r="482" ht="6" customHeight="1"/>
    <row r="483">
      <c r="A483" s="35" t="inlineStr">
        <is>
          <t>COBRANZA EFECTIVA</t>
        </is>
      </c>
      <c r="B483" s="28" t="n"/>
      <c r="C483" s="28" t="n"/>
      <c r="D483" s="28" t="n"/>
      <c r="E483" s="28" t="n"/>
      <c r="F483" s="28" t="n"/>
      <c r="G483" s="28" t="n"/>
      <c r="H483" s="28" t="n"/>
      <c r="I483" s="28" t="n"/>
      <c r="J483" s="28" t="n"/>
      <c r="K483" s="28" t="n"/>
      <c r="L483" s="28" t="n"/>
      <c r="M483" s="28" t="n"/>
      <c r="N483" s="28" t="n"/>
    </row>
    <row r="484" ht="20" customHeight="1">
      <c r="A484" s="16" t="inlineStr">
        <is>
          <t>Total</t>
        </is>
      </c>
      <c r="B484" s="17" t="n"/>
    </row>
    <row r="485" ht="18" customHeight="1">
      <c r="A485" s="12" t="inlineStr">
        <is>
          <t>Top 5</t>
        </is>
      </c>
      <c r="C485" s="13" t="n"/>
      <c r="D485" s="13" t="n"/>
      <c r="E485" s="13" t="n"/>
      <c r="F485" s="13" t="n"/>
      <c r="G485" s="13" t="n"/>
      <c r="H485" s="13" t="n"/>
      <c r="I485" s="13" t="n"/>
      <c r="J485" s="13" t="n"/>
      <c r="K485" s="13" t="n"/>
      <c r="L485" s="13" t="n"/>
      <c r="M485" s="13" t="n"/>
      <c r="N485" s="13" t="n"/>
    </row>
    <row r="486" ht="18" customHeight="1">
      <c r="A486" s="14" t="inlineStr">
        <is>
          <t>1er lugar</t>
        </is>
      </c>
      <c r="B486" s="15" t="n"/>
      <c r="C486" s="15" t="n"/>
      <c r="D486" s="15" t="n"/>
      <c r="E486" s="15" t="n"/>
      <c r="F486" s="15" t="n"/>
      <c r="G486" s="15" t="n"/>
      <c r="H486" s="15" t="n"/>
      <c r="I486" s="15" t="n"/>
      <c r="J486" s="15" t="n"/>
      <c r="K486" s="15" t="n"/>
      <c r="L486" s="15" t="n"/>
      <c r="M486" s="15" t="n"/>
      <c r="N486" s="15" t="n"/>
    </row>
    <row r="487" ht="18" customHeight="1">
      <c r="A487" s="14" t="inlineStr">
        <is>
          <t>2o lugar</t>
        </is>
      </c>
      <c r="B487" s="15" t="n"/>
      <c r="C487" s="15" t="n"/>
      <c r="D487" s="15" t="n"/>
      <c r="E487" s="15" t="n"/>
      <c r="F487" s="15" t="n"/>
      <c r="G487" s="15" t="n"/>
      <c r="H487" s="15" t="n"/>
      <c r="I487" s="15" t="n"/>
      <c r="J487" s="15" t="n"/>
      <c r="K487" s="15" t="n"/>
      <c r="L487" s="15" t="n"/>
      <c r="M487" s="15" t="n"/>
      <c r="N487" s="15" t="n"/>
    </row>
    <row r="488" ht="18" customHeight="1">
      <c r="A488" s="14" t="inlineStr">
        <is>
          <t>3er lugar</t>
        </is>
      </c>
      <c r="B488" s="15" t="n"/>
      <c r="C488" s="15" t="n"/>
      <c r="D488" s="15" t="n"/>
      <c r="E488" s="15" t="n"/>
      <c r="F488" s="15" t="n"/>
      <c r="G488" s="15" t="n"/>
      <c r="H488" s="15" t="n"/>
      <c r="I488" s="15" t="n"/>
      <c r="J488" s="15" t="n"/>
      <c r="K488" s="15" t="n"/>
      <c r="L488" s="15" t="n"/>
      <c r="M488" s="15" t="n"/>
      <c r="N488" s="15" t="n"/>
    </row>
    <row r="489" ht="18" customHeight="1">
      <c r="A489" s="14" t="inlineStr">
        <is>
          <t>4o lugar</t>
        </is>
      </c>
      <c r="B489" s="15" t="n"/>
      <c r="C489" s="15" t="n"/>
      <c r="D489" s="15" t="n"/>
      <c r="E489" s="15" t="n"/>
      <c r="F489" s="15" t="n"/>
      <c r="G489" s="15" t="n"/>
      <c r="H489" s="15" t="n"/>
      <c r="I489" s="15" t="n"/>
      <c r="J489" s="15" t="n"/>
      <c r="K489" s="15" t="n"/>
      <c r="L489" s="15" t="n"/>
      <c r="M489" s="15" t="n"/>
      <c r="N489" s="15" t="n"/>
    </row>
    <row r="490" ht="18" customHeight="1">
      <c r="A490" s="14" t="inlineStr">
        <is>
          <t>5o lugar</t>
        </is>
      </c>
      <c r="B490" s="15" t="n"/>
      <c r="C490" s="15" t="n"/>
      <c r="D490" s="15" t="n"/>
      <c r="E490" s="15" t="n"/>
      <c r="F490" s="15" t="n"/>
      <c r="G490" s="15" t="n"/>
      <c r="H490" s="15" t="n"/>
      <c r="I490" s="15" t="n"/>
      <c r="J490" s="15" t="n"/>
      <c r="K490" s="15" t="n"/>
      <c r="L490" s="15" t="n"/>
      <c r="M490" s="15" t="n"/>
      <c r="N490" s="15" t="n"/>
    </row>
    <row r="491" ht="6" customHeight="1"/>
    <row r="492">
      <c r="A492" s="35" t="inlineStr">
        <is>
          <t>COBRANZA RECUPERADA</t>
        </is>
      </c>
      <c r="B492" s="28" t="n"/>
      <c r="C492" s="28" t="n"/>
      <c r="D492" s="28" t="n"/>
      <c r="E492" s="28" t="n"/>
      <c r="F492" s="28" t="n"/>
      <c r="G492" s="28" t="n"/>
      <c r="H492" s="28" t="n"/>
      <c r="I492" s="28" t="n"/>
      <c r="J492" s="28" t="n"/>
      <c r="K492" s="28" t="n"/>
      <c r="L492" s="28" t="n"/>
      <c r="M492" s="28" t="n"/>
      <c r="N492" s="28" t="n"/>
    </row>
    <row r="493" ht="20" customHeight="1">
      <c r="A493" s="8" t="inlineStr">
        <is>
          <t>Total</t>
        </is>
      </c>
      <c r="B493" s="11" t="n"/>
    </row>
    <row r="494" ht="18" customHeight="1">
      <c r="A494" s="12" t="inlineStr">
        <is>
          <t>Top 5</t>
        </is>
      </c>
      <c r="C494" s="13" t="n"/>
      <c r="D494" s="13" t="n"/>
      <c r="E494" s="13" t="n"/>
      <c r="F494" s="13" t="n"/>
      <c r="G494" s="13" t="n"/>
      <c r="H494" s="13" t="n"/>
      <c r="I494" s="13" t="n"/>
      <c r="J494" s="13" t="n"/>
      <c r="K494" s="13" t="n"/>
      <c r="L494" s="13" t="n"/>
      <c r="M494" s="13" t="n"/>
      <c r="N494" s="13" t="n"/>
    </row>
    <row r="495" ht="18" customHeight="1">
      <c r="A495" s="14" t="inlineStr">
        <is>
          <t>1er lugar</t>
        </is>
      </c>
      <c r="B495" s="15" t="n"/>
      <c r="C495" s="15" t="n"/>
      <c r="D495" s="15" t="n"/>
      <c r="E495" s="15" t="n"/>
      <c r="F495" s="15" t="n"/>
      <c r="G495" s="15" t="n"/>
      <c r="H495" s="15" t="n"/>
      <c r="I495" s="15" t="n"/>
      <c r="J495" s="15" t="n"/>
      <c r="K495" s="15" t="n"/>
      <c r="L495" s="15" t="n"/>
      <c r="M495" s="15" t="n"/>
      <c r="N495" s="15" t="n"/>
    </row>
    <row r="496" ht="18" customHeight="1">
      <c r="A496" s="14" t="inlineStr">
        <is>
          <t>2o lugar</t>
        </is>
      </c>
      <c r="B496" s="15" t="n"/>
      <c r="C496" s="15" t="n"/>
      <c r="D496" s="15" t="n"/>
      <c r="E496" s="15" t="n"/>
      <c r="F496" s="15" t="n"/>
      <c r="G496" s="15" t="n"/>
      <c r="H496" s="15" t="n"/>
      <c r="I496" s="15" t="n"/>
      <c r="J496" s="15" t="n"/>
      <c r="K496" s="15" t="n"/>
      <c r="L496" s="15" t="n"/>
      <c r="M496" s="15" t="n"/>
      <c r="N496" s="15" t="n"/>
    </row>
    <row r="497" ht="18" customHeight="1">
      <c r="A497" s="14" t="inlineStr">
        <is>
          <t>3er lugar</t>
        </is>
      </c>
      <c r="B497" s="15" t="n"/>
      <c r="C497" s="15" t="n"/>
      <c r="D497" s="15" t="n"/>
      <c r="E497" s="15" t="n"/>
      <c r="F497" s="15" t="n"/>
      <c r="G497" s="15" t="n"/>
      <c r="H497" s="15" t="n"/>
      <c r="I497" s="15" t="n"/>
      <c r="J497" s="15" t="n"/>
      <c r="K497" s="15" t="n"/>
      <c r="L497" s="15" t="n"/>
      <c r="M497" s="15" t="n"/>
      <c r="N497" s="15" t="n"/>
    </row>
    <row r="498" ht="18" customHeight="1">
      <c r="A498" s="14" t="inlineStr">
        <is>
          <t>4o lugar</t>
        </is>
      </c>
      <c r="B498" s="15" t="n"/>
      <c r="C498" s="15" t="n"/>
      <c r="D498" s="15" t="n"/>
      <c r="E498" s="15" t="n"/>
      <c r="F498" s="15" t="n"/>
      <c r="G498" s="15" t="n"/>
      <c r="H498" s="15" t="n"/>
      <c r="I498" s="15" t="n"/>
      <c r="J498" s="15" t="n"/>
      <c r="K498" s="15" t="n"/>
      <c r="L498" s="15" t="n"/>
      <c r="M498" s="15" t="n"/>
      <c r="N498" s="15" t="n"/>
    </row>
    <row r="499" ht="18" customHeight="1">
      <c r="A499" s="14" t="inlineStr">
        <is>
          <t>5o lugar</t>
        </is>
      </c>
      <c r="B499" s="15" t="n"/>
      <c r="C499" s="15" t="n"/>
      <c r="D499" s="15" t="n"/>
      <c r="E499" s="15" t="n"/>
      <c r="F499" s="15" t="n"/>
      <c r="G499" s="15" t="n"/>
      <c r="H499" s="15" t="n"/>
      <c r="I499" s="15" t="n"/>
      <c r="J499" s="15" t="n"/>
      <c r="K499" s="15" t="n"/>
      <c r="L499" s="15" t="n"/>
      <c r="M499" s="15" t="n"/>
      <c r="N499" s="15" t="n"/>
    </row>
    <row r="500" ht="6" customHeight="1"/>
    <row r="501">
      <c r="A501" s="35" t="inlineStr">
        <is>
          <t>COBRANZA TOTAL GENERAL</t>
        </is>
      </c>
      <c r="B501" s="28" t="n"/>
      <c r="C501" s="28" t="n"/>
      <c r="D501" s="28" t="n"/>
      <c r="E501" s="28" t="n"/>
      <c r="F501" s="28" t="n"/>
      <c r="G501" s="28" t="n"/>
      <c r="H501" s="28" t="n"/>
      <c r="I501" s="28" t="n"/>
      <c r="J501" s="28" t="n"/>
      <c r="K501" s="28" t="n"/>
      <c r="L501" s="28" t="n"/>
      <c r="M501" s="28" t="n"/>
      <c r="N501" s="28" t="n"/>
    </row>
    <row r="502" ht="20" customHeight="1">
      <c r="A502" s="16" t="inlineStr">
        <is>
          <t>Total</t>
        </is>
      </c>
      <c r="B502" s="17" t="n"/>
    </row>
    <row r="503" ht="18" customHeight="1">
      <c r="A503" s="12" t="inlineStr">
        <is>
          <t>Top 5</t>
        </is>
      </c>
      <c r="C503" s="13" t="n"/>
      <c r="D503" s="13" t="n"/>
      <c r="E503" s="13" t="n"/>
      <c r="F503" s="13" t="n"/>
      <c r="G503" s="13" t="n"/>
      <c r="H503" s="13" t="n"/>
      <c r="I503" s="13" t="n"/>
      <c r="J503" s="13" t="n"/>
      <c r="K503" s="13" t="n"/>
      <c r="L503" s="13" t="n"/>
      <c r="M503" s="13" t="n"/>
      <c r="N503" s="13" t="n"/>
    </row>
    <row r="504" ht="18" customHeight="1">
      <c r="A504" s="14" t="inlineStr">
        <is>
          <t>1er lugar</t>
        </is>
      </c>
      <c r="B504" s="15" t="n"/>
      <c r="C504" s="15" t="n"/>
      <c r="D504" s="15" t="n"/>
      <c r="E504" s="15" t="n"/>
      <c r="F504" s="15" t="n"/>
      <c r="G504" s="15" t="n"/>
      <c r="H504" s="15" t="n"/>
      <c r="I504" s="15" t="n"/>
      <c r="J504" s="15" t="n"/>
      <c r="K504" s="15" t="n"/>
      <c r="L504" s="15" t="n"/>
      <c r="M504" s="15" t="n"/>
      <c r="N504" s="15" t="n"/>
    </row>
    <row r="505" ht="18" customHeight="1">
      <c r="A505" s="14" t="inlineStr">
        <is>
          <t>2o lugar</t>
        </is>
      </c>
      <c r="B505" s="15" t="n"/>
      <c r="C505" s="15" t="n"/>
      <c r="D505" s="15" t="n"/>
      <c r="E505" s="15" t="n"/>
      <c r="F505" s="15" t="n"/>
      <c r="G505" s="15" t="n"/>
      <c r="H505" s="15" t="n"/>
      <c r="I505" s="15" t="n"/>
      <c r="J505" s="15" t="n"/>
      <c r="K505" s="15" t="n"/>
      <c r="L505" s="15" t="n"/>
      <c r="M505" s="15" t="n"/>
      <c r="N505" s="15" t="n"/>
    </row>
    <row r="506" ht="18" customHeight="1">
      <c r="A506" s="14" t="inlineStr">
        <is>
          <t>3er lugar</t>
        </is>
      </c>
      <c r="B506" s="15" t="n"/>
      <c r="C506" s="15" t="n"/>
      <c r="D506" s="15" t="n"/>
      <c r="E506" s="15" t="n"/>
      <c r="F506" s="15" t="n"/>
      <c r="G506" s="15" t="n"/>
      <c r="H506" s="15" t="n"/>
      <c r="I506" s="15" t="n"/>
      <c r="J506" s="15" t="n"/>
      <c r="K506" s="15" t="n"/>
      <c r="L506" s="15" t="n"/>
      <c r="M506" s="15" t="n"/>
      <c r="N506" s="15" t="n"/>
    </row>
    <row r="507" ht="18" customHeight="1">
      <c r="A507" s="14" t="inlineStr">
        <is>
          <t>4o lugar</t>
        </is>
      </c>
      <c r="B507" s="15" t="n"/>
      <c r="C507" s="15" t="n"/>
      <c r="D507" s="15" t="n"/>
      <c r="E507" s="15" t="n"/>
      <c r="F507" s="15" t="n"/>
      <c r="G507" s="15" t="n"/>
      <c r="H507" s="15" t="n"/>
      <c r="I507" s="15" t="n"/>
      <c r="J507" s="15" t="n"/>
      <c r="K507" s="15" t="n"/>
      <c r="L507" s="15" t="n"/>
      <c r="M507" s="15" t="n"/>
      <c r="N507" s="15" t="n"/>
    </row>
    <row r="508" ht="18" customHeight="1">
      <c r="A508" s="14" t="inlineStr">
        <is>
          <t>5o lugar</t>
        </is>
      </c>
      <c r="B508" s="15" t="n"/>
      <c r="C508" s="15" t="n"/>
      <c r="D508" s="15" t="n"/>
      <c r="E508" s="15" t="n"/>
      <c r="F508" s="15" t="n"/>
      <c r="G508" s="15" t="n"/>
      <c r="H508" s="15" t="n"/>
      <c r="I508" s="15" t="n"/>
      <c r="J508" s="15" t="n"/>
      <c r="K508" s="15" t="n"/>
      <c r="L508" s="15" t="n"/>
      <c r="M508" s="15" t="n"/>
      <c r="N508" s="15" t="n"/>
    </row>
    <row r="509" ht="6" customHeight="1"/>
    <row r="510">
      <c r="A510" s="35" t="inlineStr">
        <is>
          <t>COBRANZA ADELANTADA F.</t>
        </is>
      </c>
      <c r="B510" s="28" t="n"/>
      <c r="C510" s="28" t="n"/>
      <c r="D510" s="28" t="n"/>
      <c r="E510" s="28" t="n"/>
      <c r="F510" s="28" t="n"/>
      <c r="G510" s="28" t="n"/>
      <c r="H510" s="28" t="n"/>
      <c r="I510" s="28" t="n"/>
      <c r="J510" s="28" t="n"/>
      <c r="K510" s="28" t="n"/>
      <c r="L510" s="28" t="n"/>
      <c r="M510" s="28" t="n"/>
      <c r="N510" s="28" t="n"/>
    </row>
    <row r="511" ht="20" customHeight="1">
      <c r="A511" s="8" t="inlineStr">
        <is>
          <t>Total</t>
        </is>
      </c>
      <c r="B511" s="11" t="n"/>
    </row>
    <row r="512" ht="18" customHeight="1">
      <c r="A512" s="12" t="inlineStr">
        <is>
          <t>Top 5</t>
        </is>
      </c>
      <c r="C512" s="13" t="n"/>
      <c r="D512" s="13" t="n"/>
      <c r="E512" s="13" t="n"/>
      <c r="F512" s="13" t="n"/>
      <c r="G512" s="13" t="n"/>
      <c r="H512" s="13" t="n"/>
      <c r="I512" s="13" t="n"/>
      <c r="J512" s="13" t="n"/>
      <c r="K512" s="13" t="n"/>
      <c r="L512" s="13" t="n"/>
      <c r="M512" s="13" t="n"/>
      <c r="N512" s="13" t="n"/>
    </row>
    <row r="513" ht="18" customHeight="1">
      <c r="A513" s="14" t="inlineStr">
        <is>
          <t>1er lugar</t>
        </is>
      </c>
      <c r="B513" s="15" t="n"/>
      <c r="C513" s="15" t="n"/>
      <c r="D513" s="15" t="n"/>
      <c r="E513" s="15" t="n"/>
      <c r="F513" s="15" t="n"/>
      <c r="G513" s="15" t="n"/>
      <c r="H513" s="15" t="n"/>
      <c r="I513" s="15" t="n"/>
      <c r="J513" s="15" t="n"/>
      <c r="K513" s="15" t="n"/>
      <c r="L513" s="15" t="n"/>
      <c r="M513" s="15" t="n"/>
      <c r="N513" s="15" t="n"/>
    </row>
    <row r="514" ht="18" customHeight="1">
      <c r="A514" s="14" t="inlineStr">
        <is>
          <t>2o lugar</t>
        </is>
      </c>
      <c r="B514" s="15" t="n"/>
      <c r="C514" s="15" t="n"/>
      <c r="D514" s="15" t="n"/>
      <c r="E514" s="15" t="n"/>
      <c r="F514" s="15" t="n"/>
      <c r="G514" s="15" t="n"/>
      <c r="H514" s="15" t="n"/>
      <c r="I514" s="15" t="n"/>
      <c r="J514" s="15" t="n"/>
      <c r="K514" s="15" t="n"/>
      <c r="L514" s="15" t="n"/>
      <c r="M514" s="15" t="n"/>
      <c r="N514" s="15" t="n"/>
    </row>
    <row r="515" ht="18" customHeight="1">
      <c r="A515" s="14" t="inlineStr">
        <is>
          <t>3er lugar</t>
        </is>
      </c>
      <c r="B515" s="15" t="n"/>
      <c r="C515" s="15" t="n"/>
      <c r="D515" s="15" t="n"/>
      <c r="E515" s="15" t="n"/>
      <c r="F515" s="15" t="n"/>
      <c r="G515" s="15" t="n"/>
      <c r="H515" s="15" t="n"/>
      <c r="I515" s="15" t="n"/>
      <c r="J515" s="15" t="n"/>
      <c r="K515" s="15" t="n"/>
      <c r="L515" s="15" t="n"/>
      <c r="M515" s="15" t="n"/>
      <c r="N515" s="15" t="n"/>
    </row>
    <row r="516" ht="18" customHeight="1">
      <c r="A516" s="14" t="inlineStr">
        <is>
          <t>4o lugar</t>
        </is>
      </c>
      <c r="B516" s="15" t="n"/>
      <c r="C516" s="15" t="n"/>
      <c r="D516" s="15" t="n"/>
      <c r="E516" s="15" t="n"/>
      <c r="F516" s="15" t="n"/>
      <c r="G516" s="15" t="n"/>
      <c r="H516" s="15" t="n"/>
      <c r="I516" s="15" t="n"/>
      <c r="J516" s="15" t="n"/>
      <c r="K516" s="15" t="n"/>
      <c r="L516" s="15" t="n"/>
      <c r="M516" s="15" t="n"/>
      <c r="N516" s="15" t="n"/>
    </row>
    <row r="517" ht="18" customHeight="1">
      <c r="A517" s="14" t="inlineStr">
        <is>
          <t>5o lugar</t>
        </is>
      </c>
      <c r="B517" s="15" t="n"/>
      <c r="C517" s="15" t="n"/>
      <c r="D517" s="15" t="n"/>
      <c r="E517" s="15" t="n"/>
      <c r="F517" s="15" t="n"/>
      <c r="G517" s="15" t="n"/>
      <c r="H517" s="15" t="n"/>
      <c r="I517" s="15" t="n"/>
      <c r="J517" s="15" t="n"/>
      <c r="K517" s="15" t="n"/>
      <c r="L517" s="15" t="n"/>
      <c r="M517" s="15" t="n"/>
      <c r="N517" s="15" t="n"/>
    </row>
    <row r="518" ht="6" customHeight="1"/>
    <row r="519">
      <c r="A519" s="82" t="inlineStr">
        <is>
          <t>PROYECCIÓN JULIO → JULIO</t>
        </is>
      </c>
      <c r="B519" s="28" t="n"/>
      <c r="C519" s="28" t="n"/>
      <c r="D519" s="28" t="n"/>
      <c r="E519" s="28" t="n"/>
      <c r="F519" s="28" t="n"/>
      <c r="G519" s="28" t="n"/>
      <c r="H519" s="28" t="n"/>
      <c r="I519" s="28" t="n"/>
      <c r="J519" s="28" t="n"/>
      <c r="K519" s="28" t="n"/>
      <c r="L519" s="28" t="n"/>
      <c r="M519" s="28" t="n"/>
      <c r="N519" s="28" t="n"/>
    </row>
    <row r="520">
      <c r="A520" s="19" t="inlineStr">
        <is>
          <t>Proyección JULIO</t>
        </is>
      </c>
      <c r="B520" s="20" t="n"/>
    </row>
    <row r="522" ht="14" customHeight="1"/>
    <row r="523" ht="22" customHeight="1">
      <c r="A523" s="4" t="inlineStr">
        <is>
          <t>AGOSTO 2026</t>
        </is>
      </c>
    </row>
    <row r="524" ht="28" customHeight="1">
      <c r="A524" s="5" t="inlineStr">
        <is>
          <t>CONCEPTO</t>
        </is>
      </c>
      <c r="B524" s="5" t="inlineStr">
        <is>
          <t>TOTAL ($)</t>
        </is>
      </c>
      <c r="C524" s="5" t="inlineStr">
        <is>
          <t>TOP 1</t>
        </is>
      </c>
      <c r="D524" s="5" t="inlineStr">
        <is>
          <t>TOP 2</t>
        </is>
      </c>
      <c r="E524" s="5" t="inlineStr">
        <is>
          <t>TOP 3</t>
        </is>
      </c>
      <c r="F524" s="5" t="inlineStr">
        <is>
          <t>TOP 4</t>
        </is>
      </c>
      <c r="G524" s="5" t="inlineStr">
        <is>
          <t>TOP 5</t>
        </is>
      </c>
      <c r="H524" s="5" t="inlineStr">
        <is>
          <t>% TOP 1</t>
        </is>
      </c>
      <c r="I524" s="5" t="inlineStr">
        <is>
          <t>% TOP 2</t>
        </is>
      </c>
      <c r="J524" s="5" t="inlineStr">
        <is>
          <t>% TOP 3</t>
        </is>
      </c>
      <c r="K524" s="5" t="inlineStr">
        <is>
          <t>% TOP 4</t>
        </is>
      </c>
      <c r="L524" s="5" t="inlineStr">
        <is>
          <t>% TOP 5</t>
        </is>
      </c>
      <c r="M524" s="5" t="inlineStr">
        <is>
          <t>% ACUM.</t>
        </is>
      </c>
    </row>
    <row r="525">
      <c r="A525" s="35" t="inlineStr">
        <is>
          <t>DATOS GENERALES</t>
        </is>
      </c>
      <c r="B525" s="28" t="n"/>
      <c r="C525" s="28" t="n"/>
      <c r="D525" s="28" t="n"/>
      <c r="E525" s="28" t="n"/>
      <c r="F525" s="28" t="n"/>
      <c r="G525" s="28" t="n"/>
      <c r="H525" s="28" t="n"/>
      <c r="I525" s="28" t="n"/>
      <c r="J525" s="28" t="n"/>
      <c r="K525" s="28" t="n"/>
      <c r="L525" s="28" t="n"/>
      <c r="M525" s="28" t="n"/>
      <c r="N525" s="28" t="n"/>
    </row>
    <row r="526">
      <c r="A526" s="8" t="inlineStr">
        <is>
          <t>Mes</t>
        </is>
      </c>
      <c r="B526" s="9" t="inlineStr">
        <is>
          <t>AGOSTO</t>
        </is>
      </c>
      <c r="E526" s="8" t="inlineStr">
        <is>
          <t>Año</t>
        </is>
      </c>
      <c r="F526" s="9" t="inlineStr">
        <is>
          <t>2026</t>
        </is>
      </c>
    </row>
    <row r="527">
      <c r="A527" s="8" t="inlineStr">
        <is>
          <t>Fecha de corte</t>
        </is>
      </c>
      <c r="B527" s="10" t="n"/>
      <c r="E527" s="8" t="inlineStr">
        <is>
          <t>Elaboró</t>
        </is>
      </c>
      <c r="F527" s="10" t="n"/>
    </row>
    <row r="528">
      <c r="A528" s="8" t="inlineStr">
        <is>
          <t>Reportado por</t>
        </is>
      </c>
      <c r="B528" s="10" t="n"/>
      <c r="E528" s="8" t="inlineStr">
        <is>
          <t>Cargo</t>
        </is>
      </c>
      <c r="F528" s="10" t="n"/>
    </row>
    <row r="529" ht="6" customHeight="1"/>
    <row r="530">
      <c r="A530" s="35" t="inlineStr">
        <is>
          <t>COBRANZA CORRIENTE</t>
        </is>
      </c>
      <c r="B530" s="28" t="n"/>
      <c r="C530" s="28" t="n"/>
      <c r="D530" s="28" t="n"/>
      <c r="E530" s="28" t="n"/>
      <c r="F530" s="28" t="n"/>
      <c r="G530" s="28" t="n"/>
      <c r="H530" s="28" t="n"/>
      <c r="I530" s="28" t="n"/>
      <c r="J530" s="28" t="n"/>
      <c r="K530" s="28" t="n"/>
      <c r="L530" s="28" t="n"/>
      <c r="M530" s="28" t="n"/>
      <c r="N530" s="28" t="n"/>
    </row>
    <row r="531" ht="20" customHeight="1">
      <c r="A531" s="8" t="inlineStr">
        <is>
          <t>Total</t>
        </is>
      </c>
      <c r="B531" s="11" t="n"/>
    </row>
    <row r="532" ht="18" customHeight="1">
      <c r="A532" s="12" t="inlineStr">
        <is>
          <t>Top 5</t>
        </is>
      </c>
      <c r="C532" s="13" t="n"/>
      <c r="D532" s="13" t="n"/>
      <c r="E532" s="13" t="n"/>
      <c r="F532" s="13" t="n"/>
      <c r="G532" s="13" t="n"/>
      <c r="H532" s="13" t="n"/>
      <c r="I532" s="13" t="n"/>
      <c r="J532" s="13" t="n"/>
      <c r="K532" s="13" t="n"/>
      <c r="L532" s="13" t="n"/>
      <c r="M532" s="13" t="n"/>
      <c r="N532" s="13" t="n"/>
    </row>
    <row r="533" ht="18" customHeight="1">
      <c r="A533" s="14" t="inlineStr">
        <is>
          <t>1er lugar</t>
        </is>
      </c>
      <c r="B533" s="15" t="n"/>
      <c r="C533" s="15" t="n"/>
      <c r="D533" s="15" t="n"/>
      <c r="E533" s="15" t="n"/>
      <c r="F533" s="15" t="n"/>
      <c r="G533" s="15" t="n"/>
      <c r="H533" s="15" t="n"/>
      <c r="I533" s="15" t="n"/>
      <c r="J533" s="15" t="n"/>
      <c r="K533" s="15" t="n"/>
      <c r="L533" s="15" t="n"/>
      <c r="M533" s="15" t="n"/>
      <c r="N533" s="15" t="n"/>
    </row>
    <row r="534" ht="18" customHeight="1">
      <c r="A534" s="14" t="inlineStr">
        <is>
          <t>2o lugar</t>
        </is>
      </c>
      <c r="B534" s="15" t="n"/>
      <c r="C534" s="15" t="n"/>
      <c r="D534" s="15" t="n"/>
      <c r="E534" s="15" t="n"/>
      <c r="F534" s="15" t="n"/>
      <c r="G534" s="15" t="n"/>
      <c r="H534" s="15" t="n"/>
      <c r="I534" s="15" t="n"/>
      <c r="J534" s="15" t="n"/>
      <c r="K534" s="15" t="n"/>
      <c r="L534" s="15" t="n"/>
      <c r="M534" s="15" t="n"/>
      <c r="N534" s="15" t="n"/>
    </row>
    <row r="535" ht="18" customHeight="1">
      <c r="A535" s="14" t="inlineStr">
        <is>
          <t>3er lugar</t>
        </is>
      </c>
      <c r="B535" s="15" t="n"/>
      <c r="C535" s="15" t="n"/>
      <c r="D535" s="15" t="n"/>
      <c r="E535" s="15" t="n"/>
      <c r="F535" s="15" t="n"/>
      <c r="G535" s="15" t="n"/>
      <c r="H535" s="15" t="n"/>
      <c r="I535" s="15" t="n"/>
      <c r="J535" s="15" t="n"/>
      <c r="K535" s="15" t="n"/>
      <c r="L535" s="15" t="n"/>
      <c r="M535" s="15" t="n"/>
      <c r="N535" s="15" t="n"/>
    </row>
    <row r="536" ht="18" customHeight="1">
      <c r="A536" s="14" t="inlineStr">
        <is>
          <t>4o lugar</t>
        </is>
      </c>
      <c r="B536" s="15" t="n"/>
      <c r="C536" s="15" t="n"/>
      <c r="D536" s="15" t="n"/>
      <c r="E536" s="15" t="n"/>
      <c r="F536" s="15" t="n"/>
      <c r="G536" s="15" t="n"/>
      <c r="H536" s="15" t="n"/>
      <c r="I536" s="15" t="n"/>
      <c r="J536" s="15" t="n"/>
      <c r="K536" s="15" t="n"/>
      <c r="L536" s="15" t="n"/>
      <c r="M536" s="15" t="n"/>
      <c r="N536" s="15" t="n"/>
    </row>
    <row r="537" ht="18" customHeight="1">
      <c r="A537" s="14" t="inlineStr">
        <is>
          <t>5o lugar</t>
        </is>
      </c>
      <c r="B537" s="15" t="n"/>
      <c r="C537" s="15" t="n"/>
      <c r="D537" s="15" t="n"/>
      <c r="E537" s="15" t="n"/>
      <c r="F537" s="15" t="n"/>
      <c r="G537" s="15" t="n"/>
      <c r="H537" s="15" t="n"/>
      <c r="I537" s="15" t="n"/>
      <c r="J537" s="15" t="n"/>
      <c r="K537" s="15" t="n"/>
      <c r="L537" s="15" t="n"/>
      <c r="M537" s="15" t="n"/>
      <c r="N537" s="15" t="n"/>
    </row>
    <row r="538" ht="6" customHeight="1"/>
    <row r="539">
      <c r="A539" s="35" t="inlineStr">
        <is>
          <t>CANCELACIONES</t>
        </is>
      </c>
      <c r="B539" s="28" t="n"/>
      <c r="C539" s="28" t="n"/>
      <c r="D539" s="28" t="n"/>
      <c r="E539" s="28" t="n"/>
      <c r="F539" s="28" t="n"/>
      <c r="G539" s="28" t="n"/>
      <c r="H539" s="28" t="n"/>
      <c r="I539" s="28" t="n"/>
      <c r="J539" s="28" t="n"/>
      <c r="K539" s="28" t="n"/>
      <c r="L539" s="28" t="n"/>
      <c r="M539" s="28" t="n"/>
      <c r="N539" s="28" t="n"/>
    </row>
    <row r="540" ht="20" customHeight="1">
      <c r="A540" s="16" t="inlineStr">
        <is>
          <t>Total</t>
        </is>
      </c>
      <c r="B540" s="17" t="n"/>
    </row>
    <row r="541" ht="18" customHeight="1">
      <c r="A541" s="12" t="inlineStr">
        <is>
          <t>Top 5</t>
        </is>
      </c>
      <c r="C541" s="13" t="n"/>
      <c r="D541" s="13" t="n"/>
      <c r="E541" s="13" t="n"/>
      <c r="F541" s="13" t="n"/>
      <c r="G541" s="13" t="n"/>
      <c r="H541" s="13" t="n"/>
      <c r="I541" s="13" t="n"/>
      <c r="J541" s="13" t="n"/>
      <c r="K541" s="13" t="n"/>
      <c r="L541" s="13" t="n"/>
      <c r="M541" s="13" t="n"/>
      <c r="N541" s="13" t="n"/>
    </row>
    <row r="542" ht="18" customHeight="1">
      <c r="A542" s="14" t="inlineStr">
        <is>
          <t>1er lugar</t>
        </is>
      </c>
      <c r="B542" s="15" t="n"/>
      <c r="C542" s="15" t="n"/>
      <c r="D542" s="15" t="n"/>
      <c r="E542" s="15" t="n"/>
      <c r="F542" s="15" t="n"/>
      <c r="G542" s="15" t="n"/>
      <c r="H542" s="15" t="n"/>
      <c r="I542" s="15" t="n"/>
      <c r="J542" s="15" t="n"/>
      <c r="K542" s="15" t="n"/>
      <c r="L542" s="15" t="n"/>
      <c r="M542" s="15" t="n"/>
      <c r="N542" s="15" t="n"/>
    </row>
    <row r="543" ht="18" customHeight="1">
      <c r="A543" s="14" t="inlineStr">
        <is>
          <t>2o lugar</t>
        </is>
      </c>
      <c r="B543" s="15" t="n"/>
      <c r="C543" s="15" t="n"/>
      <c r="D543" s="15" t="n"/>
      <c r="E543" s="15" t="n"/>
      <c r="F543" s="15" t="n"/>
      <c r="G543" s="15" t="n"/>
      <c r="H543" s="15" t="n"/>
      <c r="I543" s="15" t="n"/>
      <c r="J543" s="15" t="n"/>
      <c r="K543" s="15" t="n"/>
      <c r="L543" s="15" t="n"/>
      <c r="M543" s="15" t="n"/>
      <c r="N543" s="15" t="n"/>
    </row>
    <row r="544" ht="18" customHeight="1">
      <c r="A544" s="14" t="inlineStr">
        <is>
          <t>3er lugar</t>
        </is>
      </c>
      <c r="B544" s="15" t="n"/>
      <c r="C544" s="15" t="n"/>
      <c r="D544" s="15" t="n"/>
      <c r="E544" s="15" t="n"/>
      <c r="F544" s="15" t="n"/>
      <c r="G544" s="15" t="n"/>
      <c r="H544" s="15" t="n"/>
      <c r="I544" s="15" t="n"/>
      <c r="J544" s="15" t="n"/>
      <c r="K544" s="15" t="n"/>
      <c r="L544" s="15" t="n"/>
      <c r="M544" s="15" t="n"/>
      <c r="N544" s="15" t="n"/>
    </row>
    <row r="545" ht="18" customHeight="1">
      <c r="A545" s="14" t="inlineStr">
        <is>
          <t>4o lugar</t>
        </is>
      </c>
      <c r="B545" s="15" t="n"/>
      <c r="C545" s="15" t="n"/>
      <c r="D545" s="15" t="n"/>
      <c r="E545" s="15" t="n"/>
      <c r="F545" s="15" t="n"/>
      <c r="G545" s="15" t="n"/>
      <c r="H545" s="15" t="n"/>
      <c r="I545" s="15" t="n"/>
      <c r="J545" s="15" t="n"/>
      <c r="K545" s="15" t="n"/>
      <c r="L545" s="15" t="n"/>
      <c r="M545" s="15" t="n"/>
      <c r="N545" s="15" t="n"/>
    </row>
    <row r="546" ht="18" customHeight="1">
      <c r="A546" s="14" t="inlineStr">
        <is>
          <t>5o lugar</t>
        </is>
      </c>
      <c r="B546" s="15" t="n"/>
      <c r="C546" s="15" t="n"/>
      <c r="D546" s="15" t="n"/>
      <c r="E546" s="15" t="n"/>
      <c r="F546" s="15" t="n"/>
      <c r="G546" s="15" t="n"/>
      <c r="H546" s="15" t="n"/>
      <c r="I546" s="15" t="n"/>
      <c r="J546" s="15" t="n"/>
      <c r="K546" s="15" t="n"/>
      <c r="L546" s="15" t="n"/>
      <c r="M546" s="15" t="n"/>
      <c r="N546" s="15" t="n"/>
    </row>
    <row r="547" ht="6" customHeight="1"/>
    <row r="548">
      <c r="A548" s="35" t="inlineStr">
        <is>
          <t>COBRANZA VENCIDA</t>
        </is>
      </c>
      <c r="B548" s="28" t="n"/>
      <c r="C548" s="28" t="n"/>
      <c r="D548" s="28" t="n"/>
      <c r="E548" s="28" t="n"/>
      <c r="F548" s="28" t="n"/>
      <c r="G548" s="28" t="n"/>
      <c r="H548" s="28" t="n"/>
      <c r="I548" s="28" t="n"/>
      <c r="J548" s="28" t="n"/>
      <c r="K548" s="28" t="n"/>
      <c r="L548" s="28" t="n"/>
      <c r="M548" s="28" t="n"/>
      <c r="N548" s="28" t="n"/>
    </row>
    <row r="549" ht="20" customHeight="1">
      <c r="A549" s="8" t="inlineStr">
        <is>
          <t>Total</t>
        </is>
      </c>
      <c r="B549" s="11" t="n"/>
    </row>
    <row r="550" ht="18" customHeight="1">
      <c r="A550" s="12" t="inlineStr">
        <is>
          <t>Top 5</t>
        </is>
      </c>
      <c r="C550" s="13" t="n"/>
      <c r="D550" s="13" t="n"/>
      <c r="E550" s="13" t="n"/>
      <c r="F550" s="13" t="n"/>
      <c r="G550" s="13" t="n"/>
      <c r="H550" s="13" t="n"/>
      <c r="I550" s="13" t="n"/>
      <c r="J550" s="13" t="n"/>
      <c r="K550" s="13" t="n"/>
      <c r="L550" s="13" t="n"/>
      <c r="M550" s="13" t="n"/>
      <c r="N550" s="13" t="n"/>
    </row>
    <row r="551" ht="18" customHeight="1">
      <c r="A551" s="14" t="inlineStr">
        <is>
          <t>1er lugar</t>
        </is>
      </c>
      <c r="B551" s="15" t="n"/>
      <c r="C551" s="15" t="n"/>
      <c r="D551" s="15" t="n"/>
      <c r="E551" s="15" t="n"/>
      <c r="F551" s="15" t="n"/>
      <c r="G551" s="15" t="n"/>
      <c r="H551" s="15" t="n"/>
      <c r="I551" s="15" t="n"/>
      <c r="J551" s="15" t="n"/>
      <c r="K551" s="15" t="n"/>
      <c r="L551" s="15" t="n"/>
      <c r="M551" s="15" t="n"/>
      <c r="N551" s="15" t="n"/>
    </row>
    <row r="552" ht="18" customHeight="1">
      <c r="A552" s="14" t="inlineStr">
        <is>
          <t>2o lugar</t>
        </is>
      </c>
      <c r="B552" s="15" t="n"/>
      <c r="C552" s="15" t="n"/>
      <c r="D552" s="15" t="n"/>
      <c r="E552" s="15" t="n"/>
      <c r="F552" s="15" t="n"/>
      <c r="G552" s="15" t="n"/>
      <c r="H552" s="15" t="n"/>
      <c r="I552" s="15" t="n"/>
      <c r="J552" s="15" t="n"/>
      <c r="K552" s="15" t="n"/>
      <c r="L552" s="15" t="n"/>
      <c r="M552" s="15" t="n"/>
      <c r="N552" s="15" t="n"/>
    </row>
    <row r="553" ht="18" customHeight="1">
      <c r="A553" s="14" t="inlineStr">
        <is>
          <t>3er lugar</t>
        </is>
      </c>
      <c r="B553" s="15" t="n"/>
      <c r="C553" s="15" t="n"/>
      <c r="D553" s="15" t="n"/>
      <c r="E553" s="15" t="n"/>
      <c r="F553" s="15" t="n"/>
      <c r="G553" s="15" t="n"/>
      <c r="H553" s="15" t="n"/>
      <c r="I553" s="15" t="n"/>
      <c r="J553" s="15" t="n"/>
      <c r="K553" s="15" t="n"/>
      <c r="L553" s="15" t="n"/>
      <c r="M553" s="15" t="n"/>
      <c r="N553" s="15" t="n"/>
    </row>
    <row r="554" ht="18" customHeight="1">
      <c r="A554" s="14" t="inlineStr">
        <is>
          <t>4o lugar</t>
        </is>
      </c>
      <c r="B554" s="15" t="n"/>
      <c r="C554" s="15" t="n"/>
      <c r="D554" s="15" t="n"/>
      <c r="E554" s="15" t="n"/>
      <c r="F554" s="15" t="n"/>
      <c r="G554" s="15" t="n"/>
      <c r="H554" s="15" t="n"/>
      <c r="I554" s="15" t="n"/>
      <c r="J554" s="15" t="n"/>
      <c r="K554" s="15" t="n"/>
      <c r="L554" s="15" t="n"/>
      <c r="M554" s="15" t="n"/>
      <c r="N554" s="15" t="n"/>
    </row>
    <row r="555" ht="18" customHeight="1">
      <c r="A555" s="14" t="inlineStr">
        <is>
          <t>5o lugar</t>
        </is>
      </c>
      <c r="B555" s="15" t="n"/>
      <c r="C555" s="15" t="n"/>
      <c r="D555" s="15" t="n"/>
      <c r="E555" s="15" t="n"/>
      <c r="F555" s="15" t="n"/>
      <c r="G555" s="15" t="n"/>
      <c r="H555" s="15" t="n"/>
      <c r="I555" s="15" t="n"/>
      <c r="J555" s="15" t="n"/>
      <c r="K555" s="15" t="n"/>
      <c r="L555" s="15" t="n"/>
      <c r="M555" s="15" t="n"/>
      <c r="N555" s="15" t="n"/>
    </row>
    <row r="556" ht="6" customHeight="1"/>
    <row r="557">
      <c r="A557" s="35" t="inlineStr">
        <is>
          <t>COBRANZA EFECTIVA</t>
        </is>
      </c>
      <c r="B557" s="28" t="n"/>
      <c r="C557" s="28" t="n"/>
      <c r="D557" s="28" t="n"/>
      <c r="E557" s="28" t="n"/>
      <c r="F557" s="28" t="n"/>
      <c r="G557" s="28" t="n"/>
      <c r="H557" s="28" t="n"/>
      <c r="I557" s="28" t="n"/>
      <c r="J557" s="28" t="n"/>
      <c r="K557" s="28" t="n"/>
      <c r="L557" s="28" t="n"/>
      <c r="M557" s="28" t="n"/>
      <c r="N557" s="28" t="n"/>
    </row>
    <row r="558" ht="20" customHeight="1">
      <c r="A558" s="16" t="inlineStr">
        <is>
          <t>Total</t>
        </is>
      </c>
      <c r="B558" s="17" t="n"/>
    </row>
    <row r="559" ht="18" customHeight="1">
      <c r="A559" s="12" t="inlineStr">
        <is>
          <t>Top 5</t>
        </is>
      </c>
      <c r="C559" s="13" t="n"/>
      <c r="D559" s="13" t="n"/>
      <c r="E559" s="13" t="n"/>
      <c r="F559" s="13" t="n"/>
      <c r="G559" s="13" t="n"/>
      <c r="H559" s="13" t="n"/>
      <c r="I559" s="13" t="n"/>
      <c r="J559" s="13" t="n"/>
      <c r="K559" s="13" t="n"/>
      <c r="L559" s="13" t="n"/>
      <c r="M559" s="13" t="n"/>
      <c r="N559" s="13" t="n"/>
    </row>
    <row r="560" ht="18" customHeight="1">
      <c r="A560" s="14" t="inlineStr">
        <is>
          <t>1er lugar</t>
        </is>
      </c>
      <c r="B560" s="15" t="n"/>
      <c r="C560" s="15" t="n"/>
      <c r="D560" s="15" t="n"/>
      <c r="E560" s="15" t="n"/>
      <c r="F560" s="15" t="n"/>
      <c r="G560" s="15" t="n"/>
      <c r="H560" s="15" t="n"/>
      <c r="I560" s="15" t="n"/>
      <c r="J560" s="15" t="n"/>
      <c r="K560" s="15" t="n"/>
      <c r="L560" s="15" t="n"/>
      <c r="M560" s="15" t="n"/>
      <c r="N560" s="15" t="n"/>
    </row>
    <row r="561" ht="18" customHeight="1">
      <c r="A561" s="14" t="inlineStr">
        <is>
          <t>2o lugar</t>
        </is>
      </c>
      <c r="B561" s="15" t="n"/>
      <c r="C561" s="15" t="n"/>
      <c r="D561" s="15" t="n"/>
      <c r="E561" s="15" t="n"/>
      <c r="F561" s="15" t="n"/>
      <c r="G561" s="15" t="n"/>
      <c r="H561" s="15" t="n"/>
      <c r="I561" s="15" t="n"/>
      <c r="J561" s="15" t="n"/>
      <c r="K561" s="15" t="n"/>
      <c r="L561" s="15" t="n"/>
      <c r="M561" s="15" t="n"/>
      <c r="N561" s="15" t="n"/>
    </row>
    <row r="562" ht="18" customHeight="1">
      <c r="A562" s="14" t="inlineStr">
        <is>
          <t>3er lugar</t>
        </is>
      </c>
      <c r="B562" s="15" t="n"/>
      <c r="C562" s="15" t="n"/>
      <c r="D562" s="15" t="n"/>
      <c r="E562" s="15" t="n"/>
      <c r="F562" s="15" t="n"/>
      <c r="G562" s="15" t="n"/>
      <c r="H562" s="15" t="n"/>
      <c r="I562" s="15" t="n"/>
      <c r="J562" s="15" t="n"/>
      <c r="K562" s="15" t="n"/>
      <c r="L562" s="15" t="n"/>
      <c r="M562" s="15" t="n"/>
      <c r="N562" s="15" t="n"/>
    </row>
    <row r="563" ht="18" customHeight="1">
      <c r="A563" s="14" t="inlineStr">
        <is>
          <t>4o lugar</t>
        </is>
      </c>
      <c r="B563" s="15" t="n"/>
      <c r="C563" s="15" t="n"/>
      <c r="D563" s="15" t="n"/>
      <c r="E563" s="15" t="n"/>
      <c r="F563" s="15" t="n"/>
      <c r="G563" s="15" t="n"/>
      <c r="H563" s="15" t="n"/>
      <c r="I563" s="15" t="n"/>
      <c r="J563" s="15" t="n"/>
      <c r="K563" s="15" t="n"/>
      <c r="L563" s="15" t="n"/>
      <c r="M563" s="15" t="n"/>
      <c r="N563" s="15" t="n"/>
    </row>
    <row r="564" ht="18" customHeight="1">
      <c r="A564" s="14" t="inlineStr">
        <is>
          <t>5o lugar</t>
        </is>
      </c>
      <c r="B564" s="15" t="n"/>
      <c r="C564" s="15" t="n"/>
      <c r="D564" s="15" t="n"/>
      <c r="E564" s="15" t="n"/>
      <c r="F564" s="15" t="n"/>
      <c r="G564" s="15" t="n"/>
      <c r="H564" s="15" t="n"/>
      <c r="I564" s="15" t="n"/>
      <c r="J564" s="15" t="n"/>
      <c r="K564" s="15" t="n"/>
      <c r="L564" s="15" t="n"/>
      <c r="M564" s="15" t="n"/>
      <c r="N564" s="15" t="n"/>
    </row>
    <row r="565" ht="6" customHeight="1"/>
    <row r="566">
      <c r="A566" s="35" t="inlineStr">
        <is>
          <t>COBRANZA RECUPERADA</t>
        </is>
      </c>
      <c r="B566" s="28" t="n"/>
      <c r="C566" s="28" t="n"/>
      <c r="D566" s="28" t="n"/>
      <c r="E566" s="28" t="n"/>
      <c r="F566" s="28" t="n"/>
      <c r="G566" s="28" t="n"/>
      <c r="H566" s="28" t="n"/>
      <c r="I566" s="28" t="n"/>
      <c r="J566" s="28" t="n"/>
      <c r="K566" s="28" t="n"/>
      <c r="L566" s="28" t="n"/>
      <c r="M566" s="28" t="n"/>
      <c r="N566" s="28" t="n"/>
    </row>
    <row r="567" ht="20" customHeight="1">
      <c r="A567" s="8" t="inlineStr">
        <is>
          <t>Total</t>
        </is>
      </c>
      <c r="B567" s="11" t="n"/>
    </row>
    <row r="568" ht="18" customHeight="1">
      <c r="A568" s="12" t="inlineStr">
        <is>
          <t>Top 5</t>
        </is>
      </c>
      <c r="C568" s="13" t="n"/>
      <c r="D568" s="13" t="n"/>
      <c r="E568" s="13" t="n"/>
      <c r="F568" s="13" t="n"/>
      <c r="G568" s="13" t="n"/>
      <c r="H568" s="13" t="n"/>
      <c r="I568" s="13" t="n"/>
      <c r="J568" s="13" t="n"/>
      <c r="K568" s="13" t="n"/>
      <c r="L568" s="13" t="n"/>
      <c r="M568" s="13" t="n"/>
      <c r="N568" s="13" t="n"/>
    </row>
    <row r="569" ht="18" customHeight="1">
      <c r="A569" s="14" t="inlineStr">
        <is>
          <t>1er lugar</t>
        </is>
      </c>
      <c r="B569" s="15" t="n"/>
      <c r="C569" s="15" t="n"/>
      <c r="D569" s="15" t="n"/>
      <c r="E569" s="15" t="n"/>
      <c r="F569" s="15" t="n"/>
      <c r="G569" s="15" t="n"/>
      <c r="H569" s="15" t="n"/>
      <c r="I569" s="15" t="n"/>
      <c r="J569" s="15" t="n"/>
      <c r="K569" s="15" t="n"/>
      <c r="L569" s="15" t="n"/>
      <c r="M569" s="15" t="n"/>
      <c r="N569" s="15" t="n"/>
    </row>
    <row r="570" ht="18" customHeight="1">
      <c r="A570" s="14" t="inlineStr">
        <is>
          <t>2o lugar</t>
        </is>
      </c>
      <c r="B570" s="15" t="n"/>
      <c r="C570" s="15" t="n"/>
      <c r="D570" s="15" t="n"/>
      <c r="E570" s="15" t="n"/>
      <c r="F570" s="15" t="n"/>
      <c r="G570" s="15" t="n"/>
      <c r="H570" s="15" t="n"/>
      <c r="I570" s="15" t="n"/>
      <c r="J570" s="15" t="n"/>
      <c r="K570" s="15" t="n"/>
      <c r="L570" s="15" t="n"/>
      <c r="M570" s="15" t="n"/>
      <c r="N570" s="15" t="n"/>
    </row>
    <row r="571" ht="18" customHeight="1">
      <c r="A571" s="14" t="inlineStr">
        <is>
          <t>3er lugar</t>
        </is>
      </c>
      <c r="B571" s="15" t="n"/>
      <c r="C571" s="15" t="n"/>
      <c r="D571" s="15" t="n"/>
      <c r="E571" s="15" t="n"/>
      <c r="F571" s="15" t="n"/>
      <c r="G571" s="15" t="n"/>
      <c r="H571" s="15" t="n"/>
      <c r="I571" s="15" t="n"/>
      <c r="J571" s="15" t="n"/>
      <c r="K571" s="15" t="n"/>
      <c r="L571" s="15" t="n"/>
      <c r="M571" s="15" t="n"/>
      <c r="N571" s="15" t="n"/>
    </row>
    <row r="572" ht="18" customHeight="1">
      <c r="A572" s="14" t="inlineStr">
        <is>
          <t>4o lugar</t>
        </is>
      </c>
      <c r="B572" s="15" t="n"/>
      <c r="C572" s="15" t="n"/>
      <c r="D572" s="15" t="n"/>
      <c r="E572" s="15" t="n"/>
      <c r="F572" s="15" t="n"/>
      <c r="G572" s="15" t="n"/>
      <c r="H572" s="15" t="n"/>
      <c r="I572" s="15" t="n"/>
      <c r="J572" s="15" t="n"/>
      <c r="K572" s="15" t="n"/>
      <c r="L572" s="15" t="n"/>
      <c r="M572" s="15" t="n"/>
      <c r="N572" s="15" t="n"/>
    </row>
    <row r="573" ht="18" customHeight="1">
      <c r="A573" s="14" t="inlineStr">
        <is>
          <t>5o lugar</t>
        </is>
      </c>
      <c r="B573" s="15" t="n"/>
      <c r="C573" s="15" t="n"/>
      <c r="D573" s="15" t="n"/>
      <c r="E573" s="15" t="n"/>
      <c r="F573" s="15" t="n"/>
      <c r="G573" s="15" t="n"/>
      <c r="H573" s="15" t="n"/>
      <c r="I573" s="15" t="n"/>
      <c r="J573" s="15" t="n"/>
      <c r="K573" s="15" t="n"/>
      <c r="L573" s="15" t="n"/>
      <c r="M573" s="15" t="n"/>
      <c r="N573" s="15" t="n"/>
    </row>
    <row r="574" ht="6" customHeight="1"/>
    <row r="575">
      <c r="A575" s="35" t="inlineStr">
        <is>
          <t>COBRANZA TOTAL GENERAL</t>
        </is>
      </c>
      <c r="B575" s="28" t="n"/>
      <c r="C575" s="28" t="n"/>
      <c r="D575" s="28" t="n"/>
      <c r="E575" s="28" t="n"/>
      <c r="F575" s="28" t="n"/>
      <c r="G575" s="28" t="n"/>
      <c r="H575" s="28" t="n"/>
      <c r="I575" s="28" t="n"/>
      <c r="J575" s="28" t="n"/>
      <c r="K575" s="28" t="n"/>
      <c r="L575" s="28" t="n"/>
      <c r="M575" s="28" t="n"/>
      <c r="N575" s="28" t="n"/>
    </row>
    <row r="576" ht="20" customHeight="1">
      <c r="A576" s="16" t="inlineStr">
        <is>
          <t>Total</t>
        </is>
      </c>
      <c r="B576" s="17" t="n"/>
    </row>
    <row r="577" ht="18" customHeight="1">
      <c r="A577" s="12" t="inlineStr">
        <is>
          <t>Top 5</t>
        </is>
      </c>
      <c r="C577" s="13" t="n"/>
      <c r="D577" s="13" t="n"/>
      <c r="E577" s="13" t="n"/>
      <c r="F577" s="13" t="n"/>
      <c r="G577" s="13" t="n"/>
      <c r="H577" s="13" t="n"/>
      <c r="I577" s="13" t="n"/>
      <c r="J577" s="13" t="n"/>
      <c r="K577" s="13" t="n"/>
      <c r="L577" s="13" t="n"/>
      <c r="M577" s="13" t="n"/>
      <c r="N577" s="13" t="n"/>
    </row>
    <row r="578" ht="18" customHeight="1">
      <c r="A578" s="14" t="inlineStr">
        <is>
          <t>1er lugar</t>
        </is>
      </c>
      <c r="B578" s="15" t="n"/>
      <c r="C578" s="15" t="n"/>
      <c r="D578" s="15" t="n"/>
      <c r="E578" s="15" t="n"/>
      <c r="F578" s="15" t="n"/>
      <c r="G578" s="15" t="n"/>
      <c r="H578" s="15" t="n"/>
      <c r="I578" s="15" t="n"/>
      <c r="J578" s="15" t="n"/>
      <c r="K578" s="15" t="n"/>
      <c r="L578" s="15" t="n"/>
      <c r="M578" s="15" t="n"/>
      <c r="N578" s="15" t="n"/>
    </row>
    <row r="579" ht="18" customHeight="1">
      <c r="A579" s="14" t="inlineStr">
        <is>
          <t>2o lugar</t>
        </is>
      </c>
      <c r="B579" s="15" t="n"/>
      <c r="C579" s="15" t="n"/>
      <c r="D579" s="15" t="n"/>
      <c r="E579" s="15" t="n"/>
      <c r="F579" s="15" t="n"/>
      <c r="G579" s="15" t="n"/>
      <c r="H579" s="15" t="n"/>
      <c r="I579" s="15" t="n"/>
      <c r="J579" s="15" t="n"/>
      <c r="K579" s="15" t="n"/>
      <c r="L579" s="15" t="n"/>
      <c r="M579" s="15" t="n"/>
      <c r="N579" s="15" t="n"/>
    </row>
    <row r="580" ht="18" customHeight="1">
      <c r="A580" s="14" t="inlineStr">
        <is>
          <t>3er lugar</t>
        </is>
      </c>
      <c r="B580" s="15" t="n"/>
      <c r="C580" s="15" t="n"/>
      <c r="D580" s="15" t="n"/>
      <c r="E580" s="15" t="n"/>
      <c r="F580" s="15" t="n"/>
      <c r="G580" s="15" t="n"/>
      <c r="H580" s="15" t="n"/>
      <c r="I580" s="15" t="n"/>
      <c r="J580" s="15" t="n"/>
      <c r="K580" s="15" t="n"/>
      <c r="L580" s="15" t="n"/>
      <c r="M580" s="15" t="n"/>
      <c r="N580" s="15" t="n"/>
    </row>
    <row r="581" ht="18" customHeight="1">
      <c r="A581" s="14" t="inlineStr">
        <is>
          <t>4o lugar</t>
        </is>
      </c>
      <c r="B581" s="15" t="n"/>
      <c r="C581" s="15" t="n"/>
      <c r="D581" s="15" t="n"/>
      <c r="E581" s="15" t="n"/>
      <c r="F581" s="15" t="n"/>
      <c r="G581" s="15" t="n"/>
      <c r="H581" s="15" t="n"/>
      <c r="I581" s="15" t="n"/>
      <c r="J581" s="15" t="n"/>
      <c r="K581" s="15" t="n"/>
      <c r="L581" s="15" t="n"/>
      <c r="M581" s="15" t="n"/>
      <c r="N581" s="15" t="n"/>
    </row>
    <row r="582" ht="18" customHeight="1">
      <c r="A582" s="14" t="inlineStr">
        <is>
          <t>5o lugar</t>
        </is>
      </c>
      <c r="B582" s="15" t="n"/>
      <c r="C582" s="15" t="n"/>
      <c r="D582" s="15" t="n"/>
      <c r="E582" s="15" t="n"/>
      <c r="F582" s="15" t="n"/>
      <c r="G582" s="15" t="n"/>
      <c r="H582" s="15" t="n"/>
      <c r="I582" s="15" t="n"/>
      <c r="J582" s="15" t="n"/>
      <c r="K582" s="15" t="n"/>
      <c r="L582" s="15" t="n"/>
      <c r="M582" s="15" t="n"/>
      <c r="N582" s="15" t="n"/>
    </row>
    <row r="583" ht="6" customHeight="1"/>
    <row r="584">
      <c r="A584" s="35" t="inlineStr">
        <is>
          <t>COBRANZA ADELANTADA F.</t>
        </is>
      </c>
      <c r="B584" s="28" t="n"/>
      <c r="C584" s="28" t="n"/>
      <c r="D584" s="28" t="n"/>
      <c r="E584" s="28" t="n"/>
      <c r="F584" s="28" t="n"/>
      <c r="G584" s="28" t="n"/>
      <c r="H584" s="28" t="n"/>
      <c r="I584" s="28" t="n"/>
      <c r="J584" s="28" t="n"/>
      <c r="K584" s="28" t="n"/>
      <c r="L584" s="28" t="n"/>
      <c r="M584" s="28" t="n"/>
      <c r="N584" s="28" t="n"/>
    </row>
    <row r="585" ht="20" customHeight="1">
      <c r="A585" s="8" t="inlineStr">
        <is>
          <t>Total</t>
        </is>
      </c>
      <c r="B585" s="11" t="n"/>
    </row>
    <row r="586" ht="18" customHeight="1">
      <c r="A586" s="12" t="inlineStr">
        <is>
          <t>Top 5</t>
        </is>
      </c>
      <c r="C586" s="13" t="n"/>
      <c r="D586" s="13" t="n"/>
      <c r="E586" s="13" t="n"/>
      <c r="F586" s="13" t="n"/>
      <c r="G586" s="13" t="n"/>
      <c r="H586" s="13" t="n"/>
      <c r="I586" s="13" t="n"/>
      <c r="J586" s="13" t="n"/>
      <c r="K586" s="13" t="n"/>
      <c r="L586" s="13" t="n"/>
      <c r="M586" s="13" t="n"/>
      <c r="N586" s="13" t="n"/>
    </row>
    <row r="587" ht="18" customHeight="1">
      <c r="A587" s="14" t="inlineStr">
        <is>
          <t>1er lugar</t>
        </is>
      </c>
      <c r="B587" s="15" t="n"/>
      <c r="C587" s="15" t="n"/>
      <c r="D587" s="15" t="n"/>
      <c r="E587" s="15" t="n"/>
      <c r="F587" s="15" t="n"/>
      <c r="G587" s="15" t="n"/>
      <c r="H587" s="15" t="n"/>
      <c r="I587" s="15" t="n"/>
      <c r="J587" s="15" t="n"/>
      <c r="K587" s="15" t="n"/>
      <c r="L587" s="15" t="n"/>
      <c r="M587" s="15" t="n"/>
      <c r="N587" s="15" t="n"/>
    </row>
    <row r="588" ht="18" customHeight="1">
      <c r="A588" s="14" t="inlineStr">
        <is>
          <t>2o lugar</t>
        </is>
      </c>
      <c r="B588" s="15" t="n"/>
      <c r="C588" s="15" t="n"/>
      <c r="D588" s="15" t="n"/>
      <c r="E588" s="15" t="n"/>
      <c r="F588" s="15" t="n"/>
      <c r="G588" s="15" t="n"/>
      <c r="H588" s="15" t="n"/>
      <c r="I588" s="15" t="n"/>
      <c r="J588" s="15" t="n"/>
      <c r="K588" s="15" t="n"/>
      <c r="L588" s="15" t="n"/>
      <c r="M588" s="15" t="n"/>
      <c r="N588" s="15" t="n"/>
    </row>
    <row r="589" ht="18" customHeight="1">
      <c r="A589" s="14" t="inlineStr">
        <is>
          <t>3er lugar</t>
        </is>
      </c>
      <c r="B589" s="15" t="n"/>
      <c r="C589" s="15" t="n"/>
      <c r="D589" s="15" t="n"/>
      <c r="E589" s="15" t="n"/>
      <c r="F589" s="15" t="n"/>
      <c r="G589" s="15" t="n"/>
      <c r="H589" s="15" t="n"/>
      <c r="I589" s="15" t="n"/>
      <c r="J589" s="15" t="n"/>
      <c r="K589" s="15" t="n"/>
      <c r="L589" s="15" t="n"/>
      <c r="M589" s="15" t="n"/>
      <c r="N589" s="15" t="n"/>
    </row>
    <row r="590" ht="18" customHeight="1">
      <c r="A590" s="14" t="inlineStr">
        <is>
          <t>4o lugar</t>
        </is>
      </c>
      <c r="B590" s="15" t="n"/>
      <c r="C590" s="15" t="n"/>
      <c r="D590" s="15" t="n"/>
      <c r="E590" s="15" t="n"/>
      <c r="F590" s="15" t="n"/>
      <c r="G590" s="15" t="n"/>
      <c r="H590" s="15" t="n"/>
      <c r="I590" s="15" t="n"/>
      <c r="J590" s="15" t="n"/>
      <c r="K590" s="15" t="n"/>
      <c r="L590" s="15" t="n"/>
      <c r="M590" s="15" t="n"/>
      <c r="N590" s="15" t="n"/>
    </row>
    <row r="591" ht="18" customHeight="1">
      <c r="A591" s="14" t="inlineStr">
        <is>
          <t>5o lugar</t>
        </is>
      </c>
      <c r="B591" s="15" t="n"/>
      <c r="C591" s="15" t="n"/>
      <c r="D591" s="15" t="n"/>
      <c r="E591" s="15" t="n"/>
      <c r="F591" s="15" t="n"/>
      <c r="G591" s="15" t="n"/>
      <c r="H591" s="15" t="n"/>
      <c r="I591" s="15" t="n"/>
      <c r="J591" s="15" t="n"/>
      <c r="K591" s="15" t="n"/>
      <c r="L591" s="15" t="n"/>
      <c r="M591" s="15" t="n"/>
      <c r="N591" s="15" t="n"/>
    </row>
    <row r="592" ht="6" customHeight="1"/>
    <row r="593">
      <c r="A593" s="82" t="inlineStr">
        <is>
          <t>PROYECCIÓN AGOSTO → AGOSTO</t>
        </is>
      </c>
      <c r="B593" s="28" t="n"/>
      <c r="C593" s="28" t="n"/>
      <c r="D593" s="28" t="n"/>
      <c r="E593" s="28" t="n"/>
      <c r="F593" s="28" t="n"/>
      <c r="G593" s="28" t="n"/>
      <c r="H593" s="28" t="n"/>
      <c r="I593" s="28" t="n"/>
      <c r="J593" s="28" t="n"/>
      <c r="K593" s="28" t="n"/>
      <c r="L593" s="28" t="n"/>
      <c r="M593" s="28" t="n"/>
      <c r="N593" s="28" t="n"/>
    </row>
    <row r="594">
      <c r="A594" s="19" t="inlineStr">
        <is>
          <t>Proyección AGOSTO</t>
        </is>
      </c>
      <c r="B594" s="20" t="n"/>
    </row>
    <row r="596" ht="14" customHeight="1"/>
    <row r="597" ht="22" customHeight="1">
      <c r="A597" s="4" t="inlineStr">
        <is>
          <t>SEPTIEMBRE 2026</t>
        </is>
      </c>
    </row>
    <row r="598" ht="28" customHeight="1">
      <c r="A598" s="5" t="inlineStr">
        <is>
          <t>CONCEPTO</t>
        </is>
      </c>
      <c r="B598" s="5" t="inlineStr">
        <is>
          <t>TOTAL ($)</t>
        </is>
      </c>
      <c r="C598" s="5" t="inlineStr">
        <is>
          <t>TOP 1</t>
        </is>
      </c>
      <c r="D598" s="5" t="inlineStr">
        <is>
          <t>TOP 2</t>
        </is>
      </c>
      <c r="E598" s="5" t="inlineStr">
        <is>
          <t>TOP 3</t>
        </is>
      </c>
      <c r="F598" s="5" t="inlineStr">
        <is>
          <t>TOP 4</t>
        </is>
      </c>
      <c r="G598" s="5" t="inlineStr">
        <is>
          <t>TOP 5</t>
        </is>
      </c>
      <c r="H598" s="5" t="inlineStr">
        <is>
          <t>% TOP 1</t>
        </is>
      </c>
      <c r="I598" s="5" t="inlineStr">
        <is>
          <t>% TOP 2</t>
        </is>
      </c>
      <c r="J598" s="5" t="inlineStr">
        <is>
          <t>% TOP 3</t>
        </is>
      </c>
      <c r="K598" s="5" t="inlineStr">
        <is>
          <t>% TOP 4</t>
        </is>
      </c>
      <c r="L598" s="5" t="inlineStr">
        <is>
          <t>% TOP 5</t>
        </is>
      </c>
      <c r="M598" s="5" t="inlineStr">
        <is>
          <t>% ACUM.</t>
        </is>
      </c>
    </row>
    <row r="599">
      <c r="A599" s="35" t="inlineStr">
        <is>
          <t>DATOS GENERALES</t>
        </is>
      </c>
      <c r="B599" s="28" t="n"/>
      <c r="C599" s="28" t="n"/>
      <c r="D599" s="28" t="n"/>
      <c r="E599" s="28" t="n"/>
      <c r="F599" s="28" t="n"/>
      <c r="G599" s="28" t="n"/>
      <c r="H599" s="28" t="n"/>
      <c r="I599" s="28" t="n"/>
      <c r="J599" s="28" t="n"/>
      <c r="K599" s="28" t="n"/>
      <c r="L599" s="28" t="n"/>
      <c r="M599" s="28" t="n"/>
      <c r="N599" s="28" t="n"/>
    </row>
    <row r="600">
      <c r="A600" s="8" t="inlineStr">
        <is>
          <t>Mes</t>
        </is>
      </c>
      <c r="B600" s="9" t="inlineStr">
        <is>
          <t>SEPTIEMBRE</t>
        </is>
      </c>
      <c r="E600" s="8" t="inlineStr">
        <is>
          <t>Año</t>
        </is>
      </c>
      <c r="F600" s="9" t="inlineStr">
        <is>
          <t>2026</t>
        </is>
      </c>
    </row>
    <row r="601">
      <c r="A601" s="8" t="inlineStr">
        <is>
          <t>Fecha de corte</t>
        </is>
      </c>
      <c r="B601" s="10" t="n"/>
      <c r="E601" s="8" t="inlineStr">
        <is>
          <t>Elaboró</t>
        </is>
      </c>
      <c r="F601" s="10" t="n"/>
    </row>
    <row r="602">
      <c r="A602" s="8" t="inlineStr">
        <is>
          <t>Reportado por</t>
        </is>
      </c>
      <c r="B602" s="10" t="n"/>
      <c r="E602" s="8" t="inlineStr">
        <is>
          <t>Cargo</t>
        </is>
      </c>
      <c r="F602" s="10" t="n"/>
    </row>
    <row r="603" ht="6" customHeight="1"/>
    <row r="604">
      <c r="A604" s="35" t="inlineStr">
        <is>
          <t>COBRANZA CORRIENTE</t>
        </is>
      </c>
      <c r="B604" s="28" t="n"/>
      <c r="C604" s="28" t="n"/>
      <c r="D604" s="28" t="n"/>
      <c r="E604" s="28" t="n"/>
      <c r="F604" s="28" t="n"/>
      <c r="G604" s="28" t="n"/>
      <c r="H604" s="28" t="n"/>
      <c r="I604" s="28" t="n"/>
      <c r="J604" s="28" t="n"/>
      <c r="K604" s="28" t="n"/>
      <c r="L604" s="28" t="n"/>
      <c r="M604" s="28" t="n"/>
      <c r="N604" s="28" t="n"/>
    </row>
    <row r="605" ht="20" customHeight="1">
      <c r="A605" s="8" t="inlineStr">
        <is>
          <t>Total</t>
        </is>
      </c>
      <c r="B605" s="11" t="n"/>
    </row>
    <row r="606" ht="18" customHeight="1">
      <c r="A606" s="12" t="inlineStr">
        <is>
          <t>Top 5</t>
        </is>
      </c>
      <c r="C606" s="13" t="n"/>
      <c r="D606" s="13" t="n"/>
      <c r="E606" s="13" t="n"/>
      <c r="F606" s="13" t="n"/>
      <c r="G606" s="13" t="n"/>
      <c r="H606" s="13" t="n"/>
      <c r="I606" s="13" t="n"/>
      <c r="J606" s="13" t="n"/>
      <c r="K606" s="13" t="n"/>
      <c r="L606" s="13" t="n"/>
      <c r="M606" s="13" t="n"/>
      <c r="N606" s="13" t="n"/>
    </row>
    <row r="607" ht="18" customHeight="1">
      <c r="A607" s="14" t="inlineStr">
        <is>
          <t>1er lugar</t>
        </is>
      </c>
      <c r="B607" s="15" t="n"/>
      <c r="C607" s="15" t="n"/>
      <c r="D607" s="15" t="n"/>
      <c r="E607" s="15" t="n"/>
      <c r="F607" s="15" t="n"/>
      <c r="G607" s="15" t="n"/>
      <c r="H607" s="15" t="n"/>
      <c r="I607" s="15" t="n"/>
      <c r="J607" s="15" t="n"/>
      <c r="K607" s="15" t="n"/>
      <c r="L607" s="15" t="n"/>
      <c r="M607" s="15" t="n"/>
      <c r="N607" s="15" t="n"/>
    </row>
    <row r="608" ht="18" customHeight="1">
      <c r="A608" s="14" t="inlineStr">
        <is>
          <t>2o lugar</t>
        </is>
      </c>
      <c r="B608" s="15" t="n"/>
      <c r="C608" s="15" t="n"/>
      <c r="D608" s="15" t="n"/>
      <c r="E608" s="15" t="n"/>
      <c r="F608" s="15" t="n"/>
      <c r="G608" s="15" t="n"/>
      <c r="H608" s="15" t="n"/>
      <c r="I608" s="15" t="n"/>
      <c r="J608" s="15" t="n"/>
      <c r="K608" s="15" t="n"/>
      <c r="L608" s="15" t="n"/>
      <c r="M608" s="15" t="n"/>
      <c r="N608" s="15" t="n"/>
    </row>
    <row r="609" ht="18" customHeight="1">
      <c r="A609" s="14" t="inlineStr">
        <is>
          <t>3er lugar</t>
        </is>
      </c>
      <c r="B609" s="15" t="n"/>
      <c r="C609" s="15" t="n"/>
      <c r="D609" s="15" t="n"/>
      <c r="E609" s="15" t="n"/>
      <c r="F609" s="15" t="n"/>
      <c r="G609" s="15" t="n"/>
      <c r="H609" s="15" t="n"/>
      <c r="I609" s="15" t="n"/>
      <c r="J609" s="15" t="n"/>
      <c r="K609" s="15" t="n"/>
      <c r="L609" s="15" t="n"/>
      <c r="M609" s="15" t="n"/>
      <c r="N609" s="15" t="n"/>
    </row>
    <row r="610" ht="18" customHeight="1">
      <c r="A610" s="14" t="inlineStr">
        <is>
          <t>4o lugar</t>
        </is>
      </c>
      <c r="B610" s="15" t="n"/>
      <c r="C610" s="15" t="n"/>
      <c r="D610" s="15" t="n"/>
      <c r="E610" s="15" t="n"/>
      <c r="F610" s="15" t="n"/>
      <c r="G610" s="15" t="n"/>
      <c r="H610" s="15" t="n"/>
      <c r="I610" s="15" t="n"/>
      <c r="J610" s="15" t="n"/>
      <c r="K610" s="15" t="n"/>
      <c r="L610" s="15" t="n"/>
      <c r="M610" s="15" t="n"/>
      <c r="N610" s="15" t="n"/>
    </row>
    <row r="611" ht="18" customHeight="1">
      <c r="A611" s="14" t="inlineStr">
        <is>
          <t>5o lugar</t>
        </is>
      </c>
      <c r="B611" s="15" t="n"/>
      <c r="C611" s="15" t="n"/>
      <c r="D611" s="15" t="n"/>
      <c r="E611" s="15" t="n"/>
      <c r="F611" s="15" t="n"/>
      <c r="G611" s="15" t="n"/>
      <c r="H611" s="15" t="n"/>
      <c r="I611" s="15" t="n"/>
      <c r="J611" s="15" t="n"/>
      <c r="K611" s="15" t="n"/>
      <c r="L611" s="15" t="n"/>
      <c r="M611" s="15" t="n"/>
      <c r="N611" s="15" t="n"/>
    </row>
    <row r="612" ht="6" customHeight="1"/>
    <row r="613">
      <c r="A613" s="35" t="inlineStr">
        <is>
          <t>CANCELACIONES</t>
        </is>
      </c>
      <c r="B613" s="28" t="n"/>
      <c r="C613" s="28" t="n"/>
      <c r="D613" s="28" t="n"/>
      <c r="E613" s="28" t="n"/>
      <c r="F613" s="28" t="n"/>
      <c r="G613" s="28" t="n"/>
      <c r="H613" s="28" t="n"/>
      <c r="I613" s="28" t="n"/>
      <c r="J613" s="28" t="n"/>
      <c r="K613" s="28" t="n"/>
      <c r="L613" s="28" t="n"/>
      <c r="M613" s="28" t="n"/>
      <c r="N613" s="28" t="n"/>
    </row>
    <row r="614" ht="20" customHeight="1">
      <c r="A614" s="16" t="inlineStr">
        <is>
          <t>Total</t>
        </is>
      </c>
      <c r="B614" s="17" t="n"/>
    </row>
    <row r="615" ht="18" customHeight="1">
      <c r="A615" s="12" t="inlineStr">
        <is>
          <t>Top 5</t>
        </is>
      </c>
      <c r="C615" s="13" t="n"/>
      <c r="D615" s="13" t="n"/>
      <c r="E615" s="13" t="n"/>
      <c r="F615" s="13" t="n"/>
      <c r="G615" s="13" t="n"/>
      <c r="H615" s="13" t="n"/>
      <c r="I615" s="13" t="n"/>
      <c r="J615" s="13" t="n"/>
      <c r="K615" s="13" t="n"/>
      <c r="L615" s="13" t="n"/>
      <c r="M615" s="13" t="n"/>
      <c r="N615" s="13" t="n"/>
    </row>
    <row r="616" ht="18" customHeight="1">
      <c r="A616" s="14" t="inlineStr">
        <is>
          <t>1er lugar</t>
        </is>
      </c>
      <c r="B616" s="15" t="n"/>
      <c r="C616" s="15" t="n"/>
      <c r="D616" s="15" t="n"/>
      <c r="E616" s="15" t="n"/>
      <c r="F616" s="15" t="n"/>
      <c r="G616" s="15" t="n"/>
      <c r="H616" s="15" t="n"/>
      <c r="I616" s="15" t="n"/>
      <c r="J616" s="15" t="n"/>
      <c r="K616" s="15" t="n"/>
      <c r="L616" s="15" t="n"/>
      <c r="M616" s="15" t="n"/>
      <c r="N616" s="15" t="n"/>
    </row>
    <row r="617" ht="18" customHeight="1">
      <c r="A617" s="14" t="inlineStr">
        <is>
          <t>2o lugar</t>
        </is>
      </c>
      <c r="B617" s="15" t="n"/>
      <c r="C617" s="15" t="n"/>
      <c r="D617" s="15" t="n"/>
      <c r="E617" s="15" t="n"/>
      <c r="F617" s="15" t="n"/>
      <c r="G617" s="15" t="n"/>
      <c r="H617" s="15" t="n"/>
      <c r="I617" s="15" t="n"/>
      <c r="J617" s="15" t="n"/>
      <c r="K617" s="15" t="n"/>
      <c r="L617" s="15" t="n"/>
      <c r="M617" s="15" t="n"/>
      <c r="N617" s="15" t="n"/>
    </row>
    <row r="618" ht="18" customHeight="1">
      <c r="A618" s="14" t="inlineStr">
        <is>
          <t>3er lugar</t>
        </is>
      </c>
      <c r="B618" s="15" t="n"/>
      <c r="C618" s="15" t="n"/>
      <c r="D618" s="15" t="n"/>
      <c r="E618" s="15" t="n"/>
      <c r="F618" s="15" t="n"/>
      <c r="G618" s="15" t="n"/>
      <c r="H618" s="15" t="n"/>
      <c r="I618" s="15" t="n"/>
      <c r="J618" s="15" t="n"/>
      <c r="K618" s="15" t="n"/>
      <c r="L618" s="15" t="n"/>
      <c r="M618" s="15" t="n"/>
      <c r="N618" s="15" t="n"/>
    </row>
    <row r="619" ht="18" customHeight="1">
      <c r="A619" s="14" t="inlineStr">
        <is>
          <t>4o lugar</t>
        </is>
      </c>
      <c r="B619" s="15" t="n"/>
      <c r="C619" s="15" t="n"/>
      <c r="D619" s="15" t="n"/>
      <c r="E619" s="15" t="n"/>
      <c r="F619" s="15" t="n"/>
      <c r="G619" s="15" t="n"/>
      <c r="H619" s="15" t="n"/>
      <c r="I619" s="15" t="n"/>
      <c r="J619" s="15" t="n"/>
      <c r="K619" s="15" t="n"/>
      <c r="L619" s="15" t="n"/>
      <c r="M619" s="15" t="n"/>
      <c r="N619" s="15" t="n"/>
    </row>
    <row r="620" ht="18" customHeight="1">
      <c r="A620" s="14" t="inlineStr">
        <is>
          <t>5o lugar</t>
        </is>
      </c>
      <c r="B620" s="15" t="n"/>
      <c r="C620" s="15" t="n"/>
      <c r="D620" s="15" t="n"/>
      <c r="E620" s="15" t="n"/>
      <c r="F620" s="15" t="n"/>
      <c r="G620" s="15" t="n"/>
      <c r="H620" s="15" t="n"/>
      <c r="I620" s="15" t="n"/>
      <c r="J620" s="15" t="n"/>
      <c r="K620" s="15" t="n"/>
      <c r="L620" s="15" t="n"/>
      <c r="M620" s="15" t="n"/>
      <c r="N620" s="15" t="n"/>
    </row>
    <row r="621" ht="6" customHeight="1"/>
    <row r="622">
      <c r="A622" s="35" t="inlineStr">
        <is>
          <t>COBRANZA VENCIDA</t>
        </is>
      </c>
      <c r="B622" s="28" t="n"/>
      <c r="C622" s="28" t="n"/>
      <c r="D622" s="28" t="n"/>
      <c r="E622" s="28" t="n"/>
      <c r="F622" s="28" t="n"/>
      <c r="G622" s="28" t="n"/>
      <c r="H622" s="28" t="n"/>
      <c r="I622" s="28" t="n"/>
      <c r="J622" s="28" t="n"/>
      <c r="K622" s="28" t="n"/>
      <c r="L622" s="28" t="n"/>
      <c r="M622" s="28" t="n"/>
      <c r="N622" s="28" t="n"/>
    </row>
    <row r="623" ht="20" customHeight="1">
      <c r="A623" s="8" t="inlineStr">
        <is>
          <t>Total</t>
        </is>
      </c>
      <c r="B623" s="11" t="n"/>
    </row>
    <row r="624" ht="18" customHeight="1">
      <c r="A624" s="12" t="inlineStr">
        <is>
          <t>Top 5</t>
        </is>
      </c>
      <c r="C624" s="13" t="n"/>
      <c r="D624" s="13" t="n"/>
      <c r="E624" s="13" t="n"/>
      <c r="F624" s="13" t="n"/>
      <c r="G624" s="13" t="n"/>
      <c r="H624" s="13" t="n"/>
      <c r="I624" s="13" t="n"/>
      <c r="J624" s="13" t="n"/>
      <c r="K624" s="13" t="n"/>
      <c r="L624" s="13" t="n"/>
      <c r="M624" s="13" t="n"/>
      <c r="N624" s="13" t="n"/>
    </row>
    <row r="625" ht="18" customHeight="1">
      <c r="A625" s="14" t="inlineStr">
        <is>
          <t>1er lugar</t>
        </is>
      </c>
      <c r="B625" s="15" t="n"/>
      <c r="C625" s="15" t="n"/>
      <c r="D625" s="15" t="n"/>
      <c r="E625" s="15" t="n"/>
      <c r="F625" s="15" t="n"/>
      <c r="G625" s="15" t="n"/>
      <c r="H625" s="15" t="n"/>
      <c r="I625" s="15" t="n"/>
      <c r="J625" s="15" t="n"/>
      <c r="K625" s="15" t="n"/>
      <c r="L625" s="15" t="n"/>
      <c r="M625" s="15" t="n"/>
      <c r="N625" s="15" t="n"/>
    </row>
    <row r="626" ht="18" customHeight="1">
      <c r="A626" s="14" t="inlineStr">
        <is>
          <t>2o lugar</t>
        </is>
      </c>
      <c r="B626" s="15" t="n"/>
      <c r="C626" s="15" t="n"/>
      <c r="D626" s="15" t="n"/>
      <c r="E626" s="15" t="n"/>
      <c r="F626" s="15" t="n"/>
      <c r="G626" s="15" t="n"/>
      <c r="H626" s="15" t="n"/>
      <c r="I626" s="15" t="n"/>
      <c r="J626" s="15" t="n"/>
      <c r="K626" s="15" t="n"/>
      <c r="L626" s="15" t="n"/>
      <c r="M626" s="15" t="n"/>
      <c r="N626" s="15" t="n"/>
    </row>
    <row r="627" ht="18" customHeight="1">
      <c r="A627" s="14" t="inlineStr">
        <is>
          <t>3er lugar</t>
        </is>
      </c>
      <c r="B627" s="15" t="n"/>
      <c r="C627" s="15" t="n"/>
      <c r="D627" s="15" t="n"/>
      <c r="E627" s="15" t="n"/>
      <c r="F627" s="15" t="n"/>
      <c r="G627" s="15" t="n"/>
      <c r="H627" s="15" t="n"/>
      <c r="I627" s="15" t="n"/>
      <c r="J627" s="15" t="n"/>
      <c r="K627" s="15" t="n"/>
      <c r="L627" s="15" t="n"/>
      <c r="M627" s="15" t="n"/>
      <c r="N627" s="15" t="n"/>
    </row>
    <row r="628" ht="18" customHeight="1">
      <c r="A628" s="14" t="inlineStr">
        <is>
          <t>4o lugar</t>
        </is>
      </c>
      <c r="B628" s="15" t="n"/>
      <c r="C628" s="15" t="n"/>
      <c r="D628" s="15" t="n"/>
      <c r="E628" s="15" t="n"/>
      <c r="F628" s="15" t="n"/>
      <c r="G628" s="15" t="n"/>
      <c r="H628" s="15" t="n"/>
      <c r="I628" s="15" t="n"/>
      <c r="J628" s="15" t="n"/>
      <c r="K628" s="15" t="n"/>
      <c r="L628" s="15" t="n"/>
      <c r="M628" s="15" t="n"/>
      <c r="N628" s="15" t="n"/>
    </row>
    <row r="629" ht="18" customHeight="1">
      <c r="A629" s="14" t="inlineStr">
        <is>
          <t>5o lugar</t>
        </is>
      </c>
      <c r="B629" s="15" t="n"/>
      <c r="C629" s="15" t="n"/>
      <c r="D629" s="15" t="n"/>
      <c r="E629" s="15" t="n"/>
      <c r="F629" s="15" t="n"/>
      <c r="G629" s="15" t="n"/>
      <c r="H629" s="15" t="n"/>
      <c r="I629" s="15" t="n"/>
      <c r="J629" s="15" t="n"/>
      <c r="K629" s="15" t="n"/>
      <c r="L629" s="15" t="n"/>
      <c r="M629" s="15" t="n"/>
      <c r="N629" s="15" t="n"/>
    </row>
    <row r="630" ht="6" customHeight="1"/>
    <row r="631">
      <c r="A631" s="35" t="inlineStr">
        <is>
          <t>COBRANZA EFECTIVA</t>
        </is>
      </c>
      <c r="B631" s="28" t="n"/>
      <c r="C631" s="28" t="n"/>
      <c r="D631" s="28" t="n"/>
      <c r="E631" s="28" t="n"/>
      <c r="F631" s="28" t="n"/>
      <c r="G631" s="28" t="n"/>
      <c r="H631" s="28" t="n"/>
      <c r="I631" s="28" t="n"/>
      <c r="J631" s="28" t="n"/>
      <c r="K631" s="28" t="n"/>
      <c r="L631" s="28" t="n"/>
      <c r="M631" s="28" t="n"/>
      <c r="N631" s="28" t="n"/>
    </row>
    <row r="632" ht="20" customHeight="1">
      <c r="A632" s="16" t="inlineStr">
        <is>
          <t>Total</t>
        </is>
      </c>
      <c r="B632" s="17" t="n"/>
    </row>
    <row r="633" ht="18" customHeight="1">
      <c r="A633" s="12" t="inlineStr">
        <is>
          <t>Top 5</t>
        </is>
      </c>
      <c r="C633" s="13" t="n"/>
      <c r="D633" s="13" t="n"/>
      <c r="E633" s="13" t="n"/>
      <c r="F633" s="13" t="n"/>
      <c r="G633" s="13" t="n"/>
      <c r="H633" s="13" t="n"/>
      <c r="I633" s="13" t="n"/>
      <c r="J633" s="13" t="n"/>
      <c r="K633" s="13" t="n"/>
      <c r="L633" s="13" t="n"/>
      <c r="M633" s="13" t="n"/>
      <c r="N633" s="13" t="n"/>
    </row>
    <row r="634" ht="18" customHeight="1">
      <c r="A634" s="14" t="inlineStr">
        <is>
          <t>1er lugar</t>
        </is>
      </c>
      <c r="B634" s="15" t="n"/>
      <c r="C634" s="15" t="n"/>
      <c r="D634" s="15" t="n"/>
      <c r="E634" s="15" t="n"/>
      <c r="F634" s="15" t="n"/>
      <c r="G634" s="15" t="n"/>
      <c r="H634" s="15" t="n"/>
      <c r="I634" s="15" t="n"/>
      <c r="J634" s="15" t="n"/>
      <c r="K634" s="15" t="n"/>
      <c r="L634" s="15" t="n"/>
      <c r="M634" s="15" t="n"/>
      <c r="N634" s="15" t="n"/>
    </row>
    <row r="635" ht="18" customHeight="1">
      <c r="A635" s="14" t="inlineStr">
        <is>
          <t>2o lugar</t>
        </is>
      </c>
      <c r="B635" s="15" t="n"/>
      <c r="C635" s="15" t="n"/>
      <c r="D635" s="15" t="n"/>
      <c r="E635" s="15" t="n"/>
      <c r="F635" s="15" t="n"/>
      <c r="G635" s="15" t="n"/>
      <c r="H635" s="15" t="n"/>
      <c r="I635" s="15" t="n"/>
      <c r="J635" s="15" t="n"/>
      <c r="K635" s="15" t="n"/>
      <c r="L635" s="15" t="n"/>
      <c r="M635" s="15" t="n"/>
      <c r="N635" s="15" t="n"/>
    </row>
    <row r="636" ht="18" customHeight="1">
      <c r="A636" s="14" t="inlineStr">
        <is>
          <t>3er lugar</t>
        </is>
      </c>
      <c r="B636" s="15" t="n"/>
      <c r="C636" s="15" t="n"/>
      <c r="D636" s="15" t="n"/>
      <c r="E636" s="15" t="n"/>
      <c r="F636" s="15" t="n"/>
      <c r="G636" s="15" t="n"/>
      <c r="H636" s="15" t="n"/>
      <c r="I636" s="15" t="n"/>
      <c r="J636" s="15" t="n"/>
      <c r="K636" s="15" t="n"/>
      <c r="L636" s="15" t="n"/>
      <c r="M636" s="15" t="n"/>
      <c r="N636" s="15" t="n"/>
    </row>
    <row r="637" ht="18" customHeight="1">
      <c r="A637" s="14" t="inlineStr">
        <is>
          <t>4o lugar</t>
        </is>
      </c>
      <c r="B637" s="15" t="n"/>
      <c r="C637" s="15" t="n"/>
      <c r="D637" s="15" t="n"/>
      <c r="E637" s="15" t="n"/>
      <c r="F637" s="15" t="n"/>
      <c r="G637" s="15" t="n"/>
      <c r="H637" s="15" t="n"/>
      <c r="I637" s="15" t="n"/>
      <c r="J637" s="15" t="n"/>
      <c r="K637" s="15" t="n"/>
      <c r="L637" s="15" t="n"/>
      <c r="M637" s="15" t="n"/>
      <c r="N637" s="15" t="n"/>
    </row>
    <row r="638" ht="18" customHeight="1">
      <c r="A638" s="14" t="inlineStr">
        <is>
          <t>5o lugar</t>
        </is>
      </c>
      <c r="B638" s="15" t="n"/>
      <c r="C638" s="15" t="n"/>
      <c r="D638" s="15" t="n"/>
      <c r="E638" s="15" t="n"/>
      <c r="F638" s="15" t="n"/>
      <c r="G638" s="15" t="n"/>
      <c r="H638" s="15" t="n"/>
      <c r="I638" s="15" t="n"/>
      <c r="J638" s="15" t="n"/>
      <c r="K638" s="15" t="n"/>
      <c r="L638" s="15" t="n"/>
      <c r="M638" s="15" t="n"/>
      <c r="N638" s="15" t="n"/>
    </row>
    <row r="639" ht="6" customHeight="1"/>
    <row r="640">
      <c r="A640" s="35" t="inlineStr">
        <is>
          <t>COBRANZA RECUPERADA</t>
        </is>
      </c>
      <c r="B640" s="28" t="n"/>
      <c r="C640" s="28" t="n"/>
      <c r="D640" s="28" t="n"/>
      <c r="E640" s="28" t="n"/>
      <c r="F640" s="28" t="n"/>
      <c r="G640" s="28" t="n"/>
      <c r="H640" s="28" t="n"/>
      <c r="I640" s="28" t="n"/>
      <c r="J640" s="28" t="n"/>
      <c r="K640" s="28" t="n"/>
      <c r="L640" s="28" t="n"/>
      <c r="M640" s="28" t="n"/>
      <c r="N640" s="28" t="n"/>
    </row>
    <row r="641" ht="20" customHeight="1">
      <c r="A641" s="8" t="inlineStr">
        <is>
          <t>Total</t>
        </is>
      </c>
      <c r="B641" s="11" t="n"/>
    </row>
    <row r="642" ht="18" customHeight="1">
      <c r="A642" s="12" t="inlineStr">
        <is>
          <t>Top 5</t>
        </is>
      </c>
      <c r="C642" s="13" t="n"/>
      <c r="D642" s="13" t="n"/>
      <c r="E642" s="13" t="n"/>
      <c r="F642" s="13" t="n"/>
      <c r="G642" s="13" t="n"/>
      <c r="H642" s="13" t="n"/>
      <c r="I642" s="13" t="n"/>
      <c r="J642" s="13" t="n"/>
      <c r="K642" s="13" t="n"/>
      <c r="L642" s="13" t="n"/>
      <c r="M642" s="13" t="n"/>
      <c r="N642" s="13" t="n"/>
    </row>
    <row r="643" ht="18" customHeight="1">
      <c r="A643" s="14" t="inlineStr">
        <is>
          <t>1er lugar</t>
        </is>
      </c>
      <c r="B643" s="15" t="n"/>
      <c r="C643" s="15" t="n"/>
      <c r="D643" s="15" t="n"/>
      <c r="E643" s="15" t="n"/>
      <c r="F643" s="15" t="n"/>
      <c r="G643" s="15" t="n"/>
      <c r="H643" s="15" t="n"/>
      <c r="I643" s="15" t="n"/>
      <c r="J643" s="15" t="n"/>
      <c r="K643" s="15" t="n"/>
      <c r="L643" s="15" t="n"/>
      <c r="M643" s="15" t="n"/>
      <c r="N643" s="15" t="n"/>
    </row>
    <row r="644" ht="18" customHeight="1">
      <c r="A644" s="14" t="inlineStr">
        <is>
          <t>2o lugar</t>
        </is>
      </c>
      <c r="B644" s="15" t="n"/>
      <c r="C644" s="15" t="n"/>
      <c r="D644" s="15" t="n"/>
      <c r="E644" s="15" t="n"/>
      <c r="F644" s="15" t="n"/>
      <c r="G644" s="15" t="n"/>
      <c r="H644" s="15" t="n"/>
      <c r="I644" s="15" t="n"/>
      <c r="J644" s="15" t="n"/>
      <c r="K644" s="15" t="n"/>
      <c r="L644" s="15" t="n"/>
      <c r="M644" s="15" t="n"/>
      <c r="N644" s="15" t="n"/>
    </row>
    <row r="645" ht="18" customHeight="1">
      <c r="A645" s="14" t="inlineStr">
        <is>
          <t>3er lugar</t>
        </is>
      </c>
      <c r="B645" s="15" t="n"/>
      <c r="C645" s="15" t="n"/>
      <c r="D645" s="15" t="n"/>
      <c r="E645" s="15" t="n"/>
      <c r="F645" s="15" t="n"/>
      <c r="G645" s="15" t="n"/>
      <c r="H645" s="15" t="n"/>
      <c r="I645" s="15" t="n"/>
      <c r="J645" s="15" t="n"/>
      <c r="K645" s="15" t="n"/>
      <c r="L645" s="15" t="n"/>
      <c r="M645" s="15" t="n"/>
      <c r="N645" s="15" t="n"/>
    </row>
    <row r="646" ht="18" customHeight="1">
      <c r="A646" s="14" t="inlineStr">
        <is>
          <t>4o lugar</t>
        </is>
      </c>
      <c r="B646" s="15" t="n"/>
      <c r="C646" s="15" t="n"/>
      <c r="D646" s="15" t="n"/>
      <c r="E646" s="15" t="n"/>
      <c r="F646" s="15" t="n"/>
      <c r="G646" s="15" t="n"/>
      <c r="H646" s="15" t="n"/>
      <c r="I646" s="15" t="n"/>
      <c r="J646" s="15" t="n"/>
      <c r="K646" s="15" t="n"/>
      <c r="L646" s="15" t="n"/>
      <c r="M646" s="15" t="n"/>
      <c r="N646" s="15" t="n"/>
    </row>
    <row r="647" ht="18" customHeight="1">
      <c r="A647" s="14" t="inlineStr">
        <is>
          <t>5o lugar</t>
        </is>
      </c>
      <c r="B647" s="15" t="n"/>
      <c r="C647" s="15" t="n"/>
      <c r="D647" s="15" t="n"/>
      <c r="E647" s="15" t="n"/>
      <c r="F647" s="15" t="n"/>
      <c r="G647" s="15" t="n"/>
      <c r="H647" s="15" t="n"/>
      <c r="I647" s="15" t="n"/>
      <c r="J647" s="15" t="n"/>
      <c r="K647" s="15" t="n"/>
      <c r="L647" s="15" t="n"/>
      <c r="M647" s="15" t="n"/>
      <c r="N647" s="15" t="n"/>
    </row>
    <row r="648" ht="6" customHeight="1"/>
    <row r="649">
      <c r="A649" s="35" t="inlineStr">
        <is>
          <t>COBRANZA TOTAL GENERAL</t>
        </is>
      </c>
      <c r="B649" s="28" t="n"/>
      <c r="C649" s="28" t="n"/>
      <c r="D649" s="28" t="n"/>
      <c r="E649" s="28" t="n"/>
      <c r="F649" s="28" t="n"/>
      <c r="G649" s="28" t="n"/>
      <c r="H649" s="28" t="n"/>
      <c r="I649" s="28" t="n"/>
      <c r="J649" s="28" t="n"/>
      <c r="K649" s="28" t="n"/>
      <c r="L649" s="28" t="n"/>
      <c r="M649" s="28" t="n"/>
      <c r="N649" s="28" t="n"/>
    </row>
    <row r="650" ht="20" customHeight="1">
      <c r="A650" s="16" t="inlineStr">
        <is>
          <t>Total</t>
        </is>
      </c>
      <c r="B650" s="17" t="n"/>
    </row>
    <row r="651" ht="18" customHeight="1">
      <c r="A651" s="12" t="inlineStr">
        <is>
          <t>Top 5</t>
        </is>
      </c>
      <c r="C651" s="13" t="n"/>
      <c r="D651" s="13" t="n"/>
      <c r="E651" s="13" t="n"/>
      <c r="F651" s="13" t="n"/>
      <c r="G651" s="13" t="n"/>
      <c r="H651" s="13" t="n"/>
      <c r="I651" s="13" t="n"/>
      <c r="J651" s="13" t="n"/>
      <c r="K651" s="13" t="n"/>
      <c r="L651" s="13" t="n"/>
      <c r="M651" s="13" t="n"/>
      <c r="N651" s="13" t="n"/>
    </row>
    <row r="652" ht="18" customHeight="1">
      <c r="A652" s="14" t="inlineStr">
        <is>
          <t>1er lugar</t>
        </is>
      </c>
      <c r="B652" s="15" t="n"/>
      <c r="C652" s="15" t="n"/>
      <c r="D652" s="15" t="n"/>
      <c r="E652" s="15" t="n"/>
      <c r="F652" s="15" t="n"/>
      <c r="G652" s="15" t="n"/>
      <c r="H652" s="15" t="n"/>
      <c r="I652" s="15" t="n"/>
      <c r="J652" s="15" t="n"/>
      <c r="K652" s="15" t="n"/>
      <c r="L652" s="15" t="n"/>
      <c r="M652" s="15" t="n"/>
      <c r="N652" s="15" t="n"/>
    </row>
    <row r="653" ht="18" customHeight="1">
      <c r="A653" s="14" t="inlineStr">
        <is>
          <t>2o lugar</t>
        </is>
      </c>
      <c r="B653" s="15" t="n"/>
      <c r="C653" s="15" t="n"/>
      <c r="D653" s="15" t="n"/>
      <c r="E653" s="15" t="n"/>
      <c r="F653" s="15" t="n"/>
      <c r="G653" s="15" t="n"/>
      <c r="H653" s="15" t="n"/>
      <c r="I653" s="15" t="n"/>
      <c r="J653" s="15" t="n"/>
      <c r="K653" s="15" t="n"/>
      <c r="L653" s="15" t="n"/>
      <c r="M653" s="15" t="n"/>
      <c r="N653" s="15" t="n"/>
    </row>
    <row r="654" ht="18" customHeight="1">
      <c r="A654" s="14" t="inlineStr">
        <is>
          <t>3er lugar</t>
        </is>
      </c>
      <c r="B654" s="15" t="n"/>
      <c r="C654" s="15" t="n"/>
      <c r="D654" s="15" t="n"/>
      <c r="E654" s="15" t="n"/>
      <c r="F654" s="15" t="n"/>
      <c r="G654" s="15" t="n"/>
      <c r="H654" s="15" t="n"/>
      <c r="I654" s="15" t="n"/>
      <c r="J654" s="15" t="n"/>
      <c r="K654" s="15" t="n"/>
      <c r="L654" s="15" t="n"/>
      <c r="M654" s="15" t="n"/>
      <c r="N654" s="15" t="n"/>
    </row>
    <row r="655" ht="18" customHeight="1">
      <c r="A655" s="14" t="inlineStr">
        <is>
          <t>4o lugar</t>
        </is>
      </c>
      <c r="B655" s="15" t="n"/>
      <c r="C655" s="15" t="n"/>
      <c r="D655" s="15" t="n"/>
      <c r="E655" s="15" t="n"/>
      <c r="F655" s="15" t="n"/>
      <c r="G655" s="15" t="n"/>
      <c r="H655" s="15" t="n"/>
      <c r="I655" s="15" t="n"/>
      <c r="J655" s="15" t="n"/>
      <c r="K655" s="15" t="n"/>
      <c r="L655" s="15" t="n"/>
      <c r="M655" s="15" t="n"/>
      <c r="N655" s="15" t="n"/>
    </row>
    <row r="656" ht="18" customHeight="1">
      <c r="A656" s="14" t="inlineStr">
        <is>
          <t>5o lugar</t>
        </is>
      </c>
      <c r="B656" s="15" t="n"/>
      <c r="C656" s="15" t="n"/>
      <c r="D656" s="15" t="n"/>
      <c r="E656" s="15" t="n"/>
      <c r="F656" s="15" t="n"/>
      <c r="G656" s="15" t="n"/>
      <c r="H656" s="15" t="n"/>
      <c r="I656" s="15" t="n"/>
      <c r="J656" s="15" t="n"/>
      <c r="K656" s="15" t="n"/>
      <c r="L656" s="15" t="n"/>
      <c r="M656" s="15" t="n"/>
      <c r="N656" s="15" t="n"/>
    </row>
    <row r="657" ht="6" customHeight="1"/>
    <row r="658">
      <c r="A658" s="35" t="inlineStr">
        <is>
          <t>COBRANZA ADELANTADA F.</t>
        </is>
      </c>
      <c r="B658" s="28" t="n"/>
      <c r="C658" s="28" t="n"/>
      <c r="D658" s="28" t="n"/>
      <c r="E658" s="28" t="n"/>
      <c r="F658" s="28" t="n"/>
      <c r="G658" s="28" t="n"/>
      <c r="H658" s="28" t="n"/>
      <c r="I658" s="28" t="n"/>
      <c r="J658" s="28" t="n"/>
      <c r="K658" s="28" t="n"/>
      <c r="L658" s="28" t="n"/>
      <c r="M658" s="28" t="n"/>
      <c r="N658" s="28" t="n"/>
    </row>
    <row r="659" ht="20" customHeight="1">
      <c r="A659" s="8" t="inlineStr">
        <is>
          <t>Total</t>
        </is>
      </c>
      <c r="B659" s="11" t="n"/>
    </row>
    <row r="660" ht="18" customHeight="1">
      <c r="A660" s="12" t="inlineStr">
        <is>
          <t>Top 5</t>
        </is>
      </c>
      <c r="C660" s="13" t="n"/>
      <c r="D660" s="13" t="n"/>
      <c r="E660" s="13" t="n"/>
      <c r="F660" s="13" t="n"/>
      <c r="G660" s="13" t="n"/>
      <c r="H660" s="13" t="n"/>
      <c r="I660" s="13" t="n"/>
      <c r="J660" s="13" t="n"/>
      <c r="K660" s="13" t="n"/>
      <c r="L660" s="13" t="n"/>
      <c r="M660" s="13" t="n"/>
      <c r="N660" s="13" t="n"/>
    </row>
    <row r="661" ht="18" customHeight="1">
      <c r="A661" s="14" t="inlineStr">
        <is>
          <t>1er lugar</t>
        </is>
      </c>
      <c r="B661" s="15" t="n"/>
      <c r="C661" s="15" t="n"/>
      <c r="D661" s="15" t="n"/>
      <c r="E661" s="15" t="n"/>
      <c r="F661" s="15" t="n"/>
      <c r="G661" s="15" t="n"/>
      <c r="H661" s="15" t="n"/>
      <c r="I661" s="15" t="n"/>
      <c r="J661" s="15" t="n"/>
      <c r="K661" s="15" t="n"/>
      <c r="L661" s="15" t="n"/>
      <c r="M661" s="15" t="n"/>
      <c r="N661" s="15" t="n"/>
    </row>
    <row r="662" ht="18" customHeight="1">
      <c r="A662" s="14" t="inlineStr">
        <is>
          <t>2o lugar</t>
        </is>
      </c>
      <c r="B662" s="15" t="n"/>
      <c r="C662" s="15" t="n"/>
      <c r="D662" s="15" t="n"/>
      <c r="E662" s="15" t="n"/>
      <c r="F662" s="15" t="n"/>
      <c r="G662" s="15" t="n"/>
      <c r="H662" s="15" t="n"/>
      <c r="I662" s="15" t="n"/>
      <c r="J662" s="15" t="n"/>
      <c r="K662" s="15" t="n"/>
      <c r="L662" s="15" t="n"/>
      <c r="M662" s="15" t="n"/>
      <c r="N662" s="15" t="n"/>
    </row>
    <row r="663" ht="18" customHeight="1">
      <c r="A663" s="14" t="inlineStr">
        <is>
          <t>3er lugar</t>
        </is>
      </c>
      <c r="B663" s="15" t="n"/>
      <c r="C663" s="15" t="n"/>
      <c r="D663" s="15" t="n"/>
      <c r="E663" s="15" t="n"/>
      <c r="F663" s="15" t="n"/>
      <c r="G663" s="15" t="n"/>
      <c r="H663" s="15" t="n"/>
      <c r="I663" s="15" t="n"/>
      <c r="J663" s="15" t="n"/>
      <c r="K663" s="15" t="n"/>
      <c r="L663" s="15" t="n"/>
      <c r="M663" s="15" t="n"/>
      <c r="N663" s="15" t="n"/>
    </row>
    <row r="664" ht="18" customHeight="1">
      <c r="A664" s="14" t="inlineStr">
        <is>
          <t>4o lugar</t>
        </is>
      </c>
      <c r="B664" s="15" t="n"/>
      <c r="C664" s="15" t="n"/>
      <c r="D664" s="15" t="n"/>
      <c r="E664" s="15" t="n"/>
      <c r="F664" s="15" t="n"/>
      <c r="G664" s="15" t="n"/>
      <c r="H664" s="15" t="n"/>
      <c r="I664" s="15" t="n"/>
      <c r="J664" s="15" t="n"/>
      <c r="K664" s="15" t="n"/>
      <c r="L664" s="15" t="n"/>
      <c r="M664" s="15" t="n"/>
      <c r="N664" s="15" t="n"/>
    </row>
    <row r="665" ht="18" customHeight="1">
      <c r="A665" s="14" t="inlineStr">
        <is>
          <t>5o lugar</t>
        </is>
      </c>
      <c r="B665" s="15" t="n"/>
      <c r="C665" s="15" t="n"/>
      <c r="D665" s="15" t="n"/>
      <c r="E665" s="15" t="n"/>
      <c r="F665" s="15" t="n"/>
      <c r="G665" s="15" t="n"/>
      <c r="H665" s="15" t="n"/>
      <c r="I665" s="15" t="n"/>
      <c r="J665" s="15" t="n"/>
      <c r="K665" s="15" t="n"/>
      <c r="L665" s="15" t="n"/>
      <c r="M665" s="15" t="n"/>
      <c r="N665" s="15" t="n"/>
    </row>
    <row r="666" ht="6" customHeight="1"/>
    <row r="667">
      <c r="A667" s="82" t="inlineStr">
        <is>
          <t>PROYECCIÓN SEPTIEMBRE → SEPTIEMBRE</t>
        </is>
      </c>
      <c r="B667" s="28" t="n"/>
      <c r="C667" s="28" t="n"/>
      <c r="D667" s="28" t="n"/>
      <c r="E667" s="28" t="n"/>
      <c r="F667" s="28" t="n"/>
      <c r="G667" s="28" t="n"/>
      <c r="H667" s="28" t="n"/>
      <c r="I667" s="28" t="n"/>
      <c r="J667" s="28" t="n"/>
      <c r="K667" s="28" t="n"/>
      <c r="L667" s="28" t="n"/>
      <c r="M667" s="28" t="n"/>
      <c r="N667" s="28" t="n"/>
    </row>
    <row r="668">
      <c r="A668" s="19" t="inlineStr">
        <is>
          <t>Proyección SEPTIEMBRE</t>
        </is>
      </c>
      <c r="B668" s="20" t="n"/>
    </row>
    <row r="670" ht="14" customHeight="1"/>
    <row r="671" ht="22" customHeight="1">
      <c r="A671" s="4" t="inlineStr">
        <is>
          <t>OCTUBRE 2026</t>
        </is>
      </c>
    </row>
    <row r="672" ht="28" customHeight="1">
      <c r="A672" s="5" t="inlineStr">
        <is>
          <t>CONCEPTO</t>
        </is>
      </c>
      <c r="B672" s="5" t="inlineStr">
        <is>
          <t>TOTAL ($)</t>
        </is>
      </c>
      <c r="C672" s="5" t="inlineStr">
        <is>
          <t>TOP 1</t>
        </is>
      </c>
      <c r="D672" s="5" t="inlineStr">
        <is>
          <t>TOP 2</t>
        </is>
      </c>
      <c r="E672" s="5" t="inlineStr">
        <is>
          <t>TOP 3</t>
        </is>
      </c>
      <c r="F672" s="5" t="inlineStr">
        <is>
          <t>TOP 4</t>
        </is>
      </c>
      <c r="G672" s="5" t="inlineStr">
        <is>
          <t>TOP 5</t>
        </is>
      </c>
      <c r="H672" s="5" t="inlineStr">
        <is>
          <t>% TOP 1</t>
        </is>
      </c>
      <c r="I672" s="5" t="inlineStr">
        <is>
          <t>% TOP 2</t>
        </is>
      </c>
      <c r="J672" s="5" t="inlineStr">
        <is>
          <t>% TOP 3</t>
        </is>
      </c>
      <c r="K672" s="5" t="inlineStr">
        <is>
          <t>% TOP 4</t>
        </is>
      </c>
      <c r="L672" s="5" t="inlineStr">
        <is>
          <t>% TOP 5</t>
        </is>
      </c>
      <c r="M672" s="5" t="inlineStr">
        <is>
          <t>% ACUM.</t>
        </is>
      </c>
    </row>
    <row r="673">
      <c r="A673" s="35" t="inlineStr">
        <is>
          <t>DATOS GENERALES</t>
        </is>
      </c>
      <c r="B673" s="28" t="n"/>
      <c r="C673" s="28" t="n"/>
      <c r="D673" s="28" t="n"/>
      <c r="E673" s="28" t="n"/>
      <c r="F673" s="28" t="n"/>
      <c r="G673" s="28" t="n"/>
      <c r="H673" s="28" t="n"/>
      <c r="I673" s="28" t="n"/>
      <c r="J673" s="28" t="n"/>
      <c r="K673" s="28" t="n"/>
      <c r="L673" s="28" t="n"/>
      <c r="M673" s="28" t="n"/>
      <c r="N673" s="28" t="n"/>
    </row>
    <row r="674">
      <c r="A674" s="8" t="inlineStr">
        <is>
          <t>Mes</t>
        </is>
      </c>
      <c r="B674" s="9" t="inlineStr">
        <is>
          <t>OCTUBRE</t>
        </is>
      </c>
      <c r="E674" s="8" t="inlineStr">
        <is>
          <t>Año</t>
        </is>
      </c>
      <c r="F674" s="9" t="inlineStr">
        <is>
          <t>2026</t>
        </is>
      </c>
    </row>
    <row r="675">
      <c r="A675" s="8" t="inlineStr">
        <is>
          <t>Fecha de corte</t>
        </is>
      </c>
      <c r="B675" s="10" t="n"/>
      <c r="E675" s="8" t="inlineStr">
        <is>
          <t>Elaboró</t>
        </is>
      </c>
      <c r="F675" s="10" t="n"/>
    </row>
    <row r="676">
      <c r="A676" s="8" t="inlineStr">
        <is>
          <t>Reportado por</t>
        </is>
      </c>
      <c r="B676" s="10" t="n"/>
      <c r="E676" s="8" t="inlineStr">
        <is>
          <t>Cargo</t>
        </is>
      </c>
      <c r="F676" s="10" t="n"/>
    </row>
    <row r="677" ht="6" customHeight="1"/>
    <row r="678">
      <c r="A678" s="35" t="inlineStr">
        <is>
          <t>COBRANZA CORRIENTE</t>
        </is>
      </c>
      <c r="B678" s="28" t="n"/>
      <c r="C678" s="28" t="n"/>
      <c r="D678" s="28" t="n"/>
      <c r="E678" s="28" t="n"/>
      <c r="F678" s="28" t="n"/>
      <c r="G678" s="28" t="n"/>
      <c r="H678" s="28" t="n"/>
      <c r="I678" s="28" t="n"/>
      <c r="J678" s="28" t="n"/>
      <c r="K678" s="28" t="n"/>
      <c r="L678" s="28" t="n"/>
      <c r="M678" s="28" t="n"/>
      <c r="N678" s="28" t="n"/>
    </row>
    <row r="679" ht="20" customHeight="1">
      <c r="A679" s="8" t="inlineStr">
        <is>
          <t>Total</t>
        </is>
      </c>
      <c r="B679" s="11" t="n"/>
    </row>
    <row r="680" ht="18" customHeight="1">
      <c r="A680" s="12" t="inlineStr">
        <is>
          <t>Top 5</t>
        </is>
      </c>
      <c r="C680" s="13" t="n"/>
      <c r="D680" s="13" t="n"/>
      <c r="E680" s="13" t="n"/>
      <c r="F680" s="13" t="n"/>
      <c r="G680" s="13" t="n"/>
      <c r="H680" s="13" t="n"/>
      <c r="I680" s="13" t="n"/>
      <c r="J680" s="13" t="n"/>
      <c r="K680" s="13" t="n"/>
      <c r="L680" s="13" t="n"/>
      <c r="M680" s="13" t="n"/>
      <c r="N680" s="13" t="n"/>
    </row>
    <row r="681" ht="18" customHeight="1">
      <c r="A681" s="14" t="inlineStr">
        <is>
          <t>1er lugar</t>
        </is>
      </c>
      <c r="B681" s="15" t="n"/>
      <c r="C681" s="15" t="n"/>
      <c r="D681" s="15" t="n"/>
      <c r="E681" s="15" t="n"/>
      <c r="F681" s="15" t="n"/>
      <c r="G681" s="15" t="n"/>
      <c r="H681" s="15" t="n"/>
      <c r="I681" s="15" t="n"/>
      <c r="J681" s="15" t="n"/>
      <c r="K681" s="15" t="n"/>
      <c r="L681" s="15" t="n"/>
      <c r="M681" s="15" t="n"/>
      <c r="N681" s="15" t="n"/>
    </row>
    <row r="682" ht="18" customHeight="1">
      <c r="A682" s="14" t="inlineStr">
        <is>
          <t>2o lugar</t>
        </is>
      </c>
      <c r="B682" s="15" t="n"/>
      <c r="C682" s="15" t="n"/>
      <c r="D682" s="15" t="n"/>
      <c r="E682" s="15" t="n"/>
      <c r="F682" s="15" t="n"/>
      <c r="G682" s="15" t="n"/>
      <c r="H682" s="15" t="n"/>
      <c r="I682" s="15" t="n"/>
      <c r="J682" s="15" t="n"/>
      <c r="K682" s="15" t="n"/>
      <c r="L682" s="15" t="n"/>
      <c r="M682" s="15" t="n"/>
      <c r="N682" s="15" t="n"/>
    </row>
    <row r="683" ht="18" customHeight="1">
      <c r="A683" s="14" t="inlineStr">
        <is>
          <t>3er lugar</t>
        </is>
      </c>
      <c r="B683" s="15" t="n"/>
      <c r="C683" s="15" t="n"/>
      <c r="D683" s="15" t="n"/>
      <c r="E683" s="15" t="n"/>
      <c r="F683" s="15" t="n"/>
      <c r="G683" s="15" t="n"/>
      <c r="H683" s="15" t="n"/>
      <c r="I683" s="15" t="n"/>
      <c r="J683" s="15" t="n"/>
      <c r="K683" s="15" t="n"/>
      <c r="L683" s="15" t="n"/>
      <c r="M683" s="15" t="n"/>
      <c r="N683" s="15" t="n"/>
    </row>
    <row r="684" ht="18" customHeight="1">
      <c r="A684" s="14" t="inlineStr">
        <is>
          <t>4o lugar</t>
        </is>
      </c>
      <c r="B684" s="15" t="n"/>
      <c r="C684" s="15" t="n"/>
      <c r="D684" s="15" t="n"/>
      <c r="E684" s="15" t="n"/>
      <c r="F684" s="15" t="n"/>
      <c r="G684" s="15" t="n"/>
      <c r="H684" s="15" t="n"/>
      <c r="I684" s="15" t="n"/>
      <c r="J684" s="15" t="n"/>
      <c r="K684" s="15" t="n"/>
      <c r="L684" s="15" t="n"/>
      <c r="M684" s="15" t="n"/>
      <c r="N684" s="15" t="n"/>
    </row>
    <row r="685" ht="18" customHeight="1">
      <c r="A685" s="14" t="inlineStr">
        <is>
          <t>5o lugar</t>
        </is>
      </c>
      <c r="B685" s="15" t="n"/>
      <c r="C685" s="15" t="n"/>
      <c r="D685" s="15" t="n"/>
      <c r="E685" s="15" t="n"/>
      <c r="F685" s="15" t="n"/>
      <c r="G685" s="15" t="n"/>
      <c r="H685" s="15" t="n"/>
      <c r="I685" s="15" t="n"/>
      <c r="J685" s="15" t="n"/>
      <c r="K685" s="15" t="n"/>
      <c r="L685" s="15" t="n"/>
      <c r="M685" s="15" t="n"/>
      <c r="N685" s="15" t="n"/>
    </row>
    <row r="686" ht="6" customHeight="1"/>
    <row r="687">
      <c r="A687" s="35" t="inlineStr">
        <is>
          <t>CANCELACIONES</t>
        </is>
      </c>
      <c r="B687" s="28" t="n"/>
      <c r="C687" s="28" t="n"/>
      <c r="D687" s="28" t="n"/>
      <c r="E687" s="28" t="n"/>
      <c r="F687" s="28" t="n"/>
      <c r="G687" s="28" t="n"/>
      <c r="H687" s="28" t="n"/>
      <c r="I687" s="28" t="n"/>
      <c r="J687" s="28" t="n"/>
      <c r="K687" s="28" t="n"/>
      <c r="L687" s="28" t="n"/>
      <c r="M687" s="28" t="n"/>
      <c r="N687" s="28" t="n"/>
    </row>
    <row r="688" ht="20" customHeight="1">
      <c r="A688" s="16" t="inlineStr">
        <is>
          <t>Total</t>
        </is>
      </c>
      <c r="B688" s="17" t="n"/>
    </row>
    <row r="689" ht="18" customHeight="1">
      <c r="A689" s="12" t="inlineStr">
        <is>
          <t>Top 5</t>
        </is>
      </c>
      <c r="C689" s="13" t="n"/>
      <c r="D689" s="13" t="n"/>
      <c r="E689" s="13" t="n"/>
      <c r="F689" s="13" t="n"/>
      <c r="G689" s="13" t="n"/>
      <c r="H689" s="13" t="n"/>
      <c r="I689" s="13" t="n"/>
      <c r="J689" s="13" t="n"/>
      <c r="K689" s="13" t="n"/>
      <c r="L689" s="13" t="n"/>
      <c r="M689" s="13" t="n"/>
      <c r="N689" s="13" t="n"/>
    </row>
    <row r="690" ht="18" customHeight="1">
      <c r="A690" s="14" t="inlineStr">
        <is>
          <t>1er lugar</t>
        </is>
      </c>
      <c r="B690" s="15" t="n"/>
      <c r="C690" s="15" t="n"/>
      <c r="D690" s="15" t="n"/>
      <c r="E690" s="15" t="n"/>
      <c r="F690" s="15" t="n"/>
      <c r="G690" s="15" t="n"/>
      <c r="H690" s="15" t="n"/>
      <c r="I690" s="15" t="n"/>
      <c r="J690" s="15" t="n"/>
      <c r="K690" s="15" t="n"/>
      <c r="L690" s="15" t="n"/>
      <c r="M690" s="15" t="n"/>
      <c r="N690" s="15" t="n"/>
    </row>
    <row r="691" ht="18" customHeight="1">
      <c r="A691" s="14" t="inlineStr">
        <is>
          <t>2o lugar</t>
        </is>
      </c>
      <c r="B691" s="15" t="n"/>
      <c r="C691" s="15" t="n"/>
      <c r="D691" s="15" t="n"/>
      <c r="E691" s="15" t="n"/>
      <c r="F691" s="15" t="n"/>
      <c r="G691" s="15" t="n"/>
      <c r="H691" s="15" t="n"/>
      <c r="I691" s="15" t="n"/>
      <c r="J691" s="15" t="n"/>
      <c r="K691" s="15" t="n"/>
      <c r="L691" s="15" t="n"/>
      <c r="M691" s="15" t="n"/>
      <c r="N691" s="15" t="n"/>
    </row>
    <row r="692" ht="18" customHeight="1">
      <c r="A692" s="14" t="inlineStr">
        <is>
          <t>3er lugar</t>
        </is>
      </c>
      <c r="B692" s="15" t="n"/>
      <c r="C692" s="15" t="n"/>
      <c r="D692" s="15" t="n"/>
      <c r="E692" s="15" t="n"/>
      <c r="F692" s="15" t="n"/>
      <c r="G692" s="15" t="n"/>
      <c r="H692" s="15" t="n"/>
      <c r="I692" s="15" t="n"/>
      <c r="J692" s="15" t="n"/>
      <c r="K692" s="15" t="n"/>
      <c r="L692" s="15" t="n"/>
      <c r="M692" s="15" t="n"/>
      <c r="N692" s="15" t="n"/>
    </row>
    <row r="693" ht="18" customHeight="1">
      <c r="A693" s="14" t="inlineStr">
        <is>
          <t>4o lugar</t>
        </is>
      </c>
      <c r="B693" s="15" t="n"/>
      <c r="C693" s="15" t="n"/>
      <c r="D693" s="15" t="n"/>
      <c r="E693" s="15" t="n"/>
      <c r="F693" s="15" t="n"/>
      <c r="G693" s="15" t="n"/>
      <c r="H693" s="15" t="n"/>
      <c r="I693" s="15" t="n"/>
      <c r="J693" s="15" t="n"/>
      <c r="K693" s="15" t="n"/>
      <c r="L693" s="15" t="n"/>
      <c r="M693" s="15" t="n"/>
      <c r="N693" s="15" t="n"/>
    </row>
    <row r="694" ht="18" customHeight="1">
      <c r="A694" s="14" t="inlineStr">
        <is>
          <t>5o lugar</t>
        </is>
      </c>
      <c r="B694" s="15" t="n"/>
      <c r="C694" s="15" t="n"/>
      <c r="D694" s="15" t="n"/>
      <c r="E694" s="15" t="n"/>
      <c r="F694" s="15" t="n"/>
      <c r="G694" s="15" t="n"/>
      <c r="H694" s="15" t="n"/>
      <c r="I694" s="15" t="n"/>
      <c r="J694" s="15" t="n"/>
      <c r="K694" s="15" t="n"/>
      <c r="L694" s="15" t="n"/>
      <c r="M694" s="15" t="n"/>
      <c r="N694" s="15" t="n"/>
    </row>
    <row r="695" ht="6" customHeight="1"/>
    <row r="696">
      <c r="A696" s="35" t="inlineStr">
        <is>
          <t>COBRANZA VENCIDA</t>
        </is>
      </c>
      <c r="B696" s="28" t="n"/>
      <c r="C696" s="28" t="n"/>
      <c r="D696" s="28" t="n"/>
      <c r="E696" s="28" t="n"/>
      <c r="F696" s="28" t="n"/>
      <c r="G696" s="28" t="n"/>
      <c r="H696" s="28" t="n"/>
      <c r="I696" s="28" t="n"/>
      <c r="J696" s="28" t="n"/>
      <c r="K696" s="28" t="n"/>
      <c r="L696" s="28" t="n"/>
      <c r="M696" s="28" t="n"/>
      <c r="N696" s="28" t="n"/>
    </row>
    <row r="697" ht="20" customHeight="1">
      <c r="A697" s="8" t="inlineStr">
        <is>
          <t>Total</t>
        </is>
      </c>
      <c r="B697" s="11" t="n"/>
    </row>
    <row r="698" ht="18" customHeight="1">
      <c r="A698" s="12" t="inlineStr">
        <is>
          <t>Top 5</t>
        </is>
      </c>
      <c r="C698" s="13" t="n"/>
      <c r="D698" s="13" t="n"/>
      <c r="E698" s="13" t="n"/>
      <c r="F698" s="13" t="n"/>
      <c r="G698" s="13" t="n"/>
      <c r="H698" s="13" t="n"/>
      <c r="I698" s="13" t="n"/>
      <c r="J698" s="13" t="n"/>
      <c r="K698" s="13" t="n"/>
      <c r="L698" s="13" t="n"/>
      <c r="M698" s="13" t="n"/>
      <c r="N698" s="13" t="n"/>
    </row>
    <row r="699" ht="18" customHeight="1">
      <c r="A699" s="14" t="inlineStr">
        <is>
          <t>1er lugar</t>
        </is>
      </c>
      <c r="B699" s="15" t="n"/>
      <c r="C699" s="15" t="n"/>
      <c r="D699" s="15" t="n"/>
      <c r="E699" s="15" t="n"/>
      <c r="F699" s="15" t="n"/>
      <c r="G699" s="15" t="n"/>
      <c r="H699" s="15" t="n"/>
      <c r="I699" s="15" t="n"/>
      <c r="J699" s="15" t="n"/>
      <c r="K699" s="15" t="n"/>
      <c r="L699" s="15" t="n"/>
      <c r="M699" s="15" t="n"/>
      <c r="N699" s="15" t="n"/>
    </row>
    <row r="700" ht="18" customHeight="1">
      <c r="A700" s="14" t="inlineStr">
        <is>
          <t>2o lugar</t>
        </is>
      </c>
      <c r="B700" s="15" t="n"/>
      <c r="C700" s="15" t="n"/>
      <c r="D700" s="15" t="n"/>
      <c r="E700" s="15" t="n"/>
      <c r="F700" s="15" t="n"/>
      <c r="G700" s="15" t="n"/>
      <c r="H700" s="15" t="n"/>
      <c r="I700" s="15" t="n"/>
      <c r="J700" s="15" t="n"/>
      <c r="K700" s="15" t="n"/>
      <c r="L700" s="15" t="n"/>
      <c r="M700" s="15" t="n"/>
      <c r="N700" s="15" t="n"/>
    </row>
    <row r="701" ht="18" customHeight="1">
      <c r="A701" s="14" t="inlineStr">
        <is>
          <t>3er lugar</t>
        </is>
      </c>
      <c r="B701" s="15" t="n"/>
      <c r="C701" s="15" t="n"/>
      <c r="D701" s="15" t="n"/>
      <c r="E701" s="15" t="n"/>
      <c r="F701" s="15" t="n"/>
      <c r="G701" s="15" t="n"/>
      <c r="H701" s="15" t="n"/>
      <c r="I701" s="15" t="n"/>
      <c r="J701" s="15" t="n"/>
      <c r="K701" s="15" t="n"/>
      <c r="L701" s="15" t="n"/>
      <c r="M701" s="15" t="n"/>
      <c r="N701" s="15" t="n"/>
    </row>
    <row r="702" ht="18" customHeight="1">
      <c r="A702" s="14" t="inlineStr">
        <is>
          <t>4o lugar</t>
        </is>
      </c>
      <c r="B702" s="15" t="n"/>
      <c r="C702" s="15" t="n"/>
      <c r="D702" s="15" t="n"/>
      <c r="E702" s="15" t="n"/>
      <c r="F702" s="15" t="n"/>
      <c r="G702" s="15" t="n"/>
      <c r="H702" s="15" t="n"/>
      <c r="I702" s="15" t="n"/>
      <c r="J702" s="15" t="n"/>
      <c r="K702" s="15" t="n"/>
      <c r="L702" s="15" t="n"/>
      <c r="M702" s="15" t="n"/>
      <c r="N702" s="15" t="n"/>
    </row>
    <row r="703" ht="18" customHeight="1">
      <c r="A703" s="14" t="inlineStr">
        <is>
          <t>5o lugar</t>
        </is>
      </c>
      <c r="B703" s="15" t="n"/>
      <c r="C703" s="15" t="n"/>
      <c r="D703" s="15" t="n"/>
      <c r="E703" s="15" t="n"/>
      <c r="F703" s="15" t="n"/>
      <c r="G703" s="15" t="n"/>
      <c r="H703" s="15" t="n"/>
      <c r="I703" s="15" t="n"/>
      <c r="J703" s="15" t="n"/>
      <c r="K703" s="15" t="n"/>
      <c r="L703" s="15" t="n"/>
      <c r="M703" s="15" t="n"/>
      <c r="N703" s="15" t="n"/>
    </row>
    <row r="704" ht="6" customHeight="1"/>
    <row r="705">
      <c r="A705" s="35" t="inlineStr">
        <is>
          <t>COBRANZA EFECTIVA</t>
        </is>
      </c>
      <c r="B705" s="28" t="n"/>
      <c r="C705" s="28" t="n"/>
      <c r="D705" s="28" t="n"/>
      <c r="E705" s="28" t="n"/>
      <c r="F705" s="28" t="n"/>
      <c r="G705" s="28" t="n"/>
      <c r="H705" s="28" t="n"/>
      <c r="I705" s="28" t="n"/>
      <c r="J705" s="28" t="n"/>
      <c r="K705" s="28" t="n"/>
      <c r="L705" s="28" t="n"/>
      <c r="M705" s="28" t="n"/>
      <c r="N705" s="28" t="n"/>
    </row>
    <row r="706" ht="20" customHeight="1">
      <c r="A706" s="16" t="inlineStr">
        <is>
          <t>Total</t>
        </is>
      </c>
      <c r="B706" s="17" t="n"/>
    </row>
    <row r="707" ht="18" customHeight="1">
      <c r="A707" s="12" t="inlineStr">
        <is>
          <t>Top 5</t>
        </is>
      </c>
      <c r="C707" s="13" t="n"/>
      <c r="D707" s="13" t="n"/>
      <c r="E707" s="13" t="n"/>
      <c r="F707" s="13" t="n"/>
      <c r="G707" s="13" t="n"/>
      <c r="H707" s="13" t="n"/>
      <c r="I707" s="13" t="n"/>
      <c r="J707" s="13" t="n"/>
      <c r="K707" s="13" t="n"/>
      <c r="L707" s="13" t="n"/>
      <c r="M707" s="13" t="n"/>
      <c r="N707" s="13" t="n"/>
    </row>
    <row r="708" ht="18" customHeight="1">
      <c r="A708" s="14" t="inlineStr">
        <is>
          <t>1er lugar</t>
        </is>
      </c>
      <c r="B708" s="15" t="n"/>
      <c r="C708" s="15" t="n"/>
      <c r="D708" s="15" t="n"/>
      <c r="E708" s="15" t="n"/>
      <c r="F708" s="15" t="n"/>
      <c r="G708" s="15" t="n"/>
      <c r="H708" s="15" t="n"/>
      <c r="I708" s="15" t="n"/>
      <c r="J708" s="15" t="n"/>
      <c r="K708" s="15" t="n"/>
      <c r="L708" s="15" t="n"/>
      <c r="M708" s="15" t="n"/>
      <c r="N708" s="15" t="n"/>
    </row>
    <row r="709" ht="18" customHeight="1">
      <c r="A709" s="14" t="inlineStr">
        <is>
          <t>2o lugar</t>
        </is>
      </c>
      <c r="B709" s="15" t="n"/>
      <c r="C709" s="15" t="n"/>
      <c r="D709" s="15" t="n"/>
      <c r="E709" s="15" t="n"/>
      <c r="F709" s="15" t="n"/>
      <c r="G709" s="15" t="n"/>
      <c r="H709" s="15" t="n"/>
      <c r="I709" s="15" t="n"/>
      <c r="J709" s="15" t="n"/>
      <c r="K709" s="15" t="n"/>
      <c r="L709" s="15" t="n"/>
      <c r="M709" s="15" t="n"/>
      <c r="N709" s="15" t="n"/>
    </row>
    <row r="710" ht="18" customHeight="1">
      <c r="A710" s="14" t="inlineStr">
        <is>
          <t>3er lugar</t>
        </is>
      </c>
      <c r="B710" s="15" t="n"/>
      <c r="C710" s="15" t="n"/>
      <c r="D710" s="15" t="n"/>
      <c r="E710" s="15" t="n"/>
      <c r="F710" s="15" t="n"/>
      <c r="G710" s="15" t="n"/>
      <c r="H710" s="15" t="n"/>
      <c r="I710" s="15" t="n"/>
      <c r="J710" s="15" t="n"/>
      <c r="K710" s="15" t="n"/>
      <c r="L710" s="15" t="n"/>
      <c r="M710" s="15" t="n"/>
      <c r="N710" s="15" t="n"/>
    </row>
    <row r="711" ht="18" customHeight="1">
      <c r="A711" s="14" t="inlineStr">
        <is>
          <t>4o lugar</t>
        </is>
      </c>
      <c r="B711" s="15" t="n"/>
      <c r="C711" s="15" t="n"/>
      <c r="D711" s="15" t="n"/>
      <c r="E711" s="15" t="n"/>
      <c r="F711" s="15" t="n"/>
      <c r="G711" s="15" t="n"/>
      <c r="H711" s="15" t="n"/>
      <c r="I711" s="15" t="n"/>
      <c r="J711" s="15" t="n"/>
      <c r="K711" s="15" t="n"/>
      <c r="L711" s="15" t="n"/>
      <c r="M711" s="15" t="n"/>
      <c r="N711" s="15" t="n"/>
    </row>
    <row r="712" ht="18" customHeight="1">
      <c r="A712" s="14" t="inlineStr">
        <is>
          <t>5o lugar</t>
        </is>
      </c>
      <c r="B712" s="15" t="n"/>
      <c r="C712" s="15" t="n"/>
      <c r="D712" s="15" t="n"/>
      <c r="E712" s="15" t="n"/>
      <c r="F712" s="15" t="n"/>
      <c r="G712" s="15" t="n"/>
      <c r="H712" s="15" t="n"/>
      <c r="I712" s="15" t="n"/>
      <c r="J712" s="15" t="n"/>
      <c r="K712" s="15" t="n"/>
      <c r="L712" s="15" t="n"/>
      <c r="M712" s="15" t="n"/>
      <c r="N712" s="15" t="n"/>
    </row>
    <row r="713" ht="6" customHeight="1"/>
    <row r="714">
      <c r="A714" s="35" t="inlineStr">
        <is>
          <t>COBRANZA RECUPERADA</t>
        </is>
      </c>
      <c r="B714" s="28" t="n"/>
      <c r="C714" s="28" t="n"/>
      <c r="D714" s="28" t="n"/>
      <c r="E714" s="28" t="n"/>
      <c r="F714" s="28" t="n"/>
      <c r="G714" s="28" t="n"/>
      <c r="H714" s="28" t="n"/>
      <c r="I714" s="28" t="n"/>
      <c r="J714" s="28" t="n"/>
      <c r="K714" s="28" t="n"/>
      <c r="L714" s="28" t="n"/>
      <c r="M714" s="28" t="n"/>
      <c r="N714" s="28" t="n"/>
    </row>
    <row r="715" ht="20" customHeight="1">
      <c r="A715" s="8" t="inlineStr">
        <is>
          <t>Total</t>
        </is>
      </c>
      <c r="B715" s="11" t="n"/>
    </row>
    <row r="716" ht="18" customHeight="1">
      <c r="A716" s="12" t="inlineStr">
        <is>
          <t>Top 5</t>
        </is>
      </c>
      <c r="C716" s="13" t="n"/>
      <c r="D716" s="13" t="n"/>
      <c r="E716" s="13" t="n"/>
      <c r="F716" s="13" t="n"/>
      <c r="G716" s="13" t="n"/>
      <c r="H716" s="13" t="n"/>
      <c r="I716" s="13" t="n"/>
      <c r="J716" s="13" t="n"/>
      <c r="K716" s="13" t="n"/>
      <c r="L716" s="13" t="n"/>
      <c r="M716" s="13" t="n"/>
      <c r="N716" s="13" t="n"/>
    </row>
    <row r="717" ht="18" customHeight="1">
      <c r="A717" s="14" t="inlineStr">
        <is>
          <t>1er lugar</t>
        </is>
      </c>
      <c r="B717" s="15" t="n"/>
      <c r="C717" s="15" t="n"/>
      <c r="D717" s="15" t="n"/>
      <c r="E717" s="15" t="n"/>
      <c r="F717" s="15" t="n"/>
      <c r="G717" s="15" t="n"/>
      <c r="H717" s="15" t="n"/>
      <c r="I717" s="15" t="n"/>
      <c r="J717" s="15" t="n"/>
      <c r="K717" s="15" t="n"/>
      <c r="L717" s="15" t="n"/>
      <c r="M717" s="15" t="n"/>
      <c r="N717" s="15" t="n"/>
    </row>
    <row r="718" ht="18" customHeight="1">
      <c r="A718" s="14" t="inlineStr">
        <is>
          <t>2o lugar</t>
        </is>
      </c>
      <c r="B718" s="15" t="n"/>
      <c r="C718" s="15" t="n"/>
      <c r="D718" s="15" t="n"/>
      <c r="E718" s="15" t="n"/>
      <c r="F718" s="15" t="n"/>
      <c r="G718" s="15" t="n"/>
      <c r="H718" s="15" t="n"/>
      <c r="I718" s="15" t="n"/>
      <c r="J718" s="15" t="n"/>
      <c r="K718" s="15" t="n"/>
      <c r="L718" s="15" t="n"/>
      <c r="M718" s="15" t="n"/>
      <c r="N718" s="15" t="n"/>
    </row>
    <row r="719" ht="18" customHeight="1">
      <c r="A719" s="14" t="inlineStr">
        <is>
          <t>3er lugar</t>
        </is>
      </c>
      <c r="B719" s="15" t="n"/>
      <c r="C719" s="15" t="n"/>
      <c r="D719" s="15" t="n"/>
      <c r="E719" s="15" t="n"/>
      <c r="F719" s="15" t="n"/>
      <c r="G719" s="15" t="n"/>
      <c r="H719" s="15" t="n"/>
      <c r="I719" s="15" t="n"/>
      <c r="J719" s="15" t="n"/>
      <c r="K719" s="15" t="n"/>
      <c r="L719" s="15" t="n"/>
      <c r="M719" s="15" t="n"/>
      <c r="N719" s="15" t="n"/>
    </row>
    <row r="720" ht="18" customHeight="1">
      <c r="A720" s="14" t="inlineStr">
        <is>
          <t>4o lugar</t>
        </is>
      </c>
      <c r="B720" s="15" t="n"/>
      <c r="C720" s="15" t="n"/>
      <c r="D720" s="15" t="n"/>
      <c r="E720" s="15" t="n"/>
      <c r="F720" s="15" t="n"/>
      <c r="G720" s="15" t="n"/>
      <c r="H720" s="15" t="n"/>
      <c r="I720" s="15" t="n"/>
      <c r="J720" s="15" t="n"/>
      <c r="K720" s="15" t="n"/>
      <c r="L720" s="15" t="n"/>
      <c r="M720" s="15" t="n"/>
      <c r="N720" s="15" t="n"/>
    </row>
    <row r="721" ht="18" customHeight="1">
      <c r="A721" s="14" t="inlineStr">
        <is>
          <t>5o lugar</t>
        </is>
      </c>
      <c r="B721" s="15" t="n"/>
      <c r="C721" s="15" t="n"/>
      <c r="D721" s="15" t="n"/>
      <c r="E721" s="15" t="n"/>
      <c r="F721" s="15" t="n"/>
      <c r="G721" s="15" t="n"/>
      <c r="H721" s="15" t="n"/>
      <c r="I721" s="15" t="n"/>
      <c r="J721" s="15" t="n"/>
      <c r="K721" s="15" t="n"/>
      <c r="L721" s="15" t="n"/>
      <c r="M721" s="15" t="n"/>
      <c r="N721" s="15" t="n"/>
    </row>
    <row r="722" ht="6" customHeight="1"/>
    <row r="723">
      <c r="A723" s="35" t="inlineStr">
        <is>
          <t>COBRANZA TOTAL GENERAL</t>
        </is>
      </c>
      <c r="B723" s="28" t="n"/>
      <c r="C723" s="28" t="n"/>
      <c r="D723" s="28" t="n"/>
      <c r="E723" s="28" t="n"/>
      <c r="F723" s="28" t="n"/>
      <c r="G723" s="28" t="n"/>
      <c r="H723" s="28" t="n"/>
      <c r="I723" s="28" t="n"/>
      <c r="J723" s="28" t="n"/>
      <c r="K723" s="28" t="n"/>
      <c r="L723" s="28" t="n"/>
      <c r="M723" s="28" t="n"/>
      <c r="N723" s="28" t="n"/>
    </row>
    <row r="724" ht="20" customHeight="1">
      <c r="A724" s="16" t="inlineStr">
        <is>
          <t>Total</t>
        </is>
      </c>
      <c r="B724" s="17" t="n"/>
    </row>
    <row r="725" ht="18" customHeight="1">
      <c r="A725" s="12" t="inlineStr">
        <is>
          <t>Top 5</t>
        </is>
      </c>
      <c r="C725" s="13" t="n"/>
      <c r="D725" s="13" t="n"/>
      <c r="E725" s="13" t="n"/>
      <c r="F725" s="13" t="n"/>
      <c r="G725" s="13" t="n"/>
      <c r="H725" s="13" t="n"/>
      <c r="I725" s="13" t="n"/>
      <c r="J725" s="13" t="n"/>
      <c r="K725" s="13" t="n"/>
      <c r="L725" s="13" t="n"/>
      <c r="M725" s="13" t="n"/>
      <c r="N725" s="13" t="n"/>
    </row>
    <row r="726" ht="18" customHeight="1">
      <c r="A726" s="14" t="inlineStr">
        <is>
          <t>1er lugar</t>
        </is>
      </c>
      <c r="B726" s="15" t="n"/>
      <c r="C726" s="15" t="n"/>
      <c r="D726" s="15" t="n"/>
      <c r="E726" s="15" t="n"/>
      <c r="F726" s="15" t="n"/>
      <c r="G726" s="15" t="n"/>
      <c r="H726" s="15" t="n"/>
      <c r="I726" s="15" t="n"/>
      <c r="J726" s="15" t="n"/>
      <c r="K726" s="15" t="n"/>
      <c r="L726" s="15" t="n"/>
      <c r="M726" s="15" t="n"/>
      <c r="N726" s="15" t="n"/>
    </row>
    <row r="727" ht="18" customHeight="1">
      <c r="A727" s="14" t="inlineStr">
        <is>
          <t>2o lugar</t>
        </is>
      </c>
      <c r="B727" s="15" t="n"/>
      <c r="C727" s="15" t="n"/>
      <c r="D727" s="15" t="n"/>
      <c r="E727" s="15" t="n"/>
      <c r="F727" s="15" t="n"/>
      <c r="G727" s="15" t="n"/>
      <c r="H727" s="15" t="n"/>
      <c r="I727" s="15" t="n"/>
      <c r="J727" s="15" t="n"/>
      <c r="K727" s="15" t="n"/>
      <c r="L727" s="15" t="n"/>
      <c r="M727" s="15" t="n"/>
      <c r="N727" s="15" t="n"/>
    </row>
    <row r="728" ht="18" customHeight="1">
      <c r="A728" s="14" t="inlineStr">
        <is>
          <t>3er lugar</t>
        </is>
      </c>
      <c r="B728" s="15" t="n"/>
      <c r="C728" s="15" t="n"/>
      <c r="D728" s="15" t="n"/>
      <c r="E728" s="15" t="n"/>
      <c r="F728" s="15" t="n"/>
      <c r="G728" s="15" t="n"/>
      <c r="H728" s="15" t="n"/>
      <c r="I728" s="15" t="n"/>
      <c r="J728" s="15" t="n"/>
      <c r="K728" s="15" t="n"/>
      <c r="L728" s="15" t="n"/>
      <c r="M728" s="15" t="n"/>
      <c r="N728" s="15" t="n"/>
    </row>
    <row r="729" ht="18" customHeight="1">
      <c r="A729" s="14" t="inlineStr">
        <is>
          <t>4o lugar</t>
        </is>
      </c>
      <c r="B729" s="15" t="n"/>
      <c r="C729" s="15" t="n"/>
      <c r="D729" s="15" t="n"/>
      <c r="E729" s="15" t="n"/>
      <c r="F729" s="15" t="n"/>
      <c r="G729" s="15" t="n"/>
      <c r="H729" s="15" t="n"/>
      <c r="I729" s="15" t="n"/>
      <c r="J729" s="15" t="n"/>
      <c r="K729" s="15" t="n"/>
      <c r="L729" s="15" t="n"/>
      <c r="M729" s="15" t="n"/>
      <c r="N729" s="15" t="n"/>
    </row>
    <row r="730" ht="18" customHeight="1">
      <c r="A730" s="14" t="inlineStr">
        <is>
          <t>5o lugar</t>
        </is>
      </c>
      <c r="B730" s="15" t="n"/>
      <c r="C730" s="15" t="n"/>
      <c r="D730" s="15" t="n"/>
      <c r="E730" s="15" t="n"/>
      <c r="F730" s="15" t="n"/>
      <c r="G730" s="15" t="n"/>
      <c r="H730" s="15" t="n"/>
      <c r="I730" s="15" t="n"/>
      <c r="J730" s="15" t="n"/>
      <c r="K730" s="15" t="n"/>
      <c r="L730" s="15" t="n"/>
      <c r="M730" s="15" t="n"/>
      <c r="N730" s="15" t="n"/>
    </row>
    <row r="731" ht="6" customHeight="1"/>
    <row r="732">
      <c r="A732" s="35" t="inlineStr">
        <is>
          <t>COBRANZA ADELANTADA F.</t>
        </is>
      </c>
      <c r="B732" s="28" t="n"/>
      <c r="C732" s="28" t="n"/>
      <c r="D732" s="28" t="n"/>
      <c r="E732" s="28" t="n"/>
      <c r="F732" s="28" t="n"/>
      <c r="G732" s="28" t="n"/>
      <c r="H732" s="28" t="n"/>
      <c r="I732" s="28" t="n"/>
      <c r="J732" s="28" t="n"/>
      <c r="K732" s="28" t="n"/>
      <c r="L732" s="28" t="n"/>
      <c r="M732" s="28" t="n"/>
      <c r="N732" s="28" t="n"/>
    </row>
    <row r="733" ht="20" customHeight="1">
      <c r="A733" s="8" t="inlineStr">
        <is>
          <t>Total</t>
        </is>
      </c>
      <c r="B733" s="11" t="n"/>
    </row>
    <row r="734" ht="18" customHeight="1">
      <c r="A734" s="12" t="inlineStr">
        <is>
          <t>Top 5</t>
        </is>
      </c>
      <c r="C734" s="13" t="n"/>
      <c r="D734" s="13" t="n"/>
      <c r="E734" s="13" t="n"/>
      <c r="F734" s="13" t="n"/>
      <c r="G734" s="13" t="n"/>
      <c r="H734" s="13" t="n"/>
      <c r="I734" s="13" t="n"/>
      <c r="J734" s="13" t="n"/>
      <c r="K734" s="13" t="n"/>
      <c r="L734" s="13" t="n"/>
      <c r="M734" s="13" t="n"/>
      <c r="N734" s="13" t="n"/>
    </row>
    <row r="735" ht="18" customHeight="1">
      <c r="A735" s="14" t="inlineStr">
        <is>
          <t>1er lugar</t>
        </is>
      </c>
      <c r="B735" s="15" t="n"/>
      <c r="C735" s="15" t="n"/>
      <c r="D735" s="15" t="n"/>
      <c r="E735" s="15" t="n"/>
      <c r="F735" s="15" t="n"/>
      <c r="G735" s="15" t="n"/>
      <c r="H735" s="15" t="n"/>
      <c r="I735" s="15" t="n"/>
      <c r="J735" s="15" t="n"/>
      <c r="K735" s="15" t="n"/>
      <c r="L735" s="15" t="n"/>
      <c r="M735" s="15" t="n"/>
      <c r="N735" s="15" t="n"/>
    </row>
    <row r="736" ht="18" customHeight="1">
      <c r="A736" s="14" t="inlineStr">
        <is>
          <t>2o lugar</t>
        </is>
      </c>
      <c r="B736" s="15" t="n"/>
      <c r="C736" s="15" t="n"/>
      <c r="D736" s="15" t="n"/>
      <c r="E736" s="15" t="n"/>
      <c r="F736" s="15" t="n"/>
      <c r="G736" s="15" t="n"/>
      <c r="H736" s="15" t="n"/>
      <c r="I736" s="15" t="n"/>
      <c r="J736" s="15" t="n"/>
      <c r="K736" s="15" t="n"/>
      <c r="L736" s="15" t="n"/>
      <c r="M736" s="15" t="n"/>
      <c r="N736" s="15" t="n"/>
    </row>
    <row r="737" ht="18" customHeight="1">
      <c r="A737" s="14" t="inlineStr">
        <is>
          <t>3er lugar</t>
        </is>
      </c>
      <c r="B737" s="15" t="n"/>
      <c r="C737" s="15" t="n"/>
      <c r="D737" s="15" t="n"/>
      <c r="E737" s="15" t="n"/>
      <c r="F737" s="15" t="n"/>
      <c r="G737" s="15" t="n"/>
      <c r="H737" s="15" t="n"/>
      <c r="I737" s="15" t="n"/>
      <c r="J737" s="15" t="n"/>
      <c r="K737" s="15" t="n"/>
      <c r="L737" s="15" t="n"/>
      <c r="M737" s="15" t="n"/>
      <c r="N737" s="15" t="n"/>
    </row>
    <row r="738" ht="18" customHeight="1">
      <c r="A738" s="14" t="inlineStr">
        <is>
          <t>4o lugar</t>
        </is>
      </c>
      <c r="B738" s="15" t="n"/>
      <c r="C738" s="15" t="n"/>
      <c r="D738" s="15" t="n"/>
      <c r="E738" s="15" t="n"/>
      <c r="F738" s="15" t="n"/>
      <c r="G738" s="15" t="n"/>
      <c r="H738" s="15" t="n"/>
      <c r="I738" s="15" t="n"/>
      <c r="J738" s="15" t="n"/>
      <c r="K738" s="15" t="n"/>
      <c r="L738" s="15" t="n"/>
      <c r="M738" s="15" t="n"/>
      <c r="N738" s="15" t="n"/>
    </row>
    <row r="739" ht="18" customHeight="1">
      <c r="A739" s="14" t="inlineStr">
        <is>
          <t>5o lugar</t>
        </is>
      </c>
      <c r="B739" s="15" t="n"/>
      <c r="C739" s="15" t="n"/>
      <c r="D739" s="15" t="n"/>
      <c r="E739" s="15" t="n"/>
      <c r="F739" s="15" t="n"/>
      <c r="G739" s="15" t="n"/>
      <c r="H739" s="15" t="n"/>
      <c r="I739" s="15" t="n"/>
      <c r="J739" s="15" t="n"/>
      <c r="K739" s="15" t="n"/>
      <c r="L739" s="15" t="n"/>
      <c r="M739" s="15" t="n"/>
      <c r="N739" s="15" t="n"/>
    </row>
    <row r="740" ht="6" customHeight="1"/>
    <row r="741">
      <c r="A741" s="82" t="inlineStr">
        <is>
          <t>PROYECCIÓN OCTUBRE → OCTUBRE</t>
        </is>
      </c>
      <c r="B741" s="28" t="n"/>
      <c r="C741" s="28" t="n"/>
      <c r="D741" s="28" t="n"/>
      <c r="E741" s="28" t="n"/>
      <c r="F741" s="28" t="n"/>
      <c r="G741" s="28" t="n"/>
      <c r="H741" s="28" t="n"/>
      <c r="I741" s="28" t="n"/>
      <c r="J741" s="28" t="n"/>
      <c r="K741" s="28" t="n"/>
      <c r="L741" s="28" t="n"/>
      <c r="M741" s="28" t="n"/>
      <c r="N741" s="28" t="n"/>
    </row>
    <row r="742">
      <c r="A742" s="19" t="inlineStr">
        <is>
          <t>Proyección OCTUBRE</t>
        </is>
      </c>
      <c r="B742" s="20" t="n"/>
    </row>
    <row r="744" ht="14" customHeight="1"/>
    <row r="745" ht="22" customHeight="1">
      <c r="A745" s="4" t="inlineStr">
        <is>
          <t>NOVIEMBRE 2026</t>
        </is>
      </c>
    </row>
    <row r="746" ht="28" customHeight="1">
      <c r="A746" s="5" t="inlineStr">
        <is>
          <t>CONCEPTO</t>
        </is>
      </c>
      <c r="B746" s="5" t="inlineStr">
        <is>
          <t>TOTAL ($)</t>
        </is>
      </c>
      <c r="C746" s="5" t="inlineStr">
        <is>
          <t>TOP 1</t>
        </is>
      </c>
      <c r="D746" s="5" t="inlineStr">
        <is>
          <t>TOP 2</t>
        </is>
      </c>
      <c r="E746" s="5" t="inlineStr">
        <is>
          <t>TOP 3</t>
        </is>
      </c>
      <c r="F746" s="5" t="inlineStr">
        <is>
          <t>TOP 4</t>
        </is>
      </c>
      <c r="G746" s="5" t="inlineStr">
        <is>
          <t>TOP 5</t>
        </is>
      </c>
      <c r="H746" s="5" t="inlineStr">
        <is>
          <t>% TOP 1</t>
        </is>
      </c>
      <c r="I746" s="5" t="inlineStr">
        <is>
          <t>% TOP 2</t>
        </is>
      </c>
      <c r="J746" s="5" t="inlineStr">
        <is>
          <t>% TOP 3</t>
        </is>
      </c>
      <c r="K746" s="5" t="inlineStr">
        <is>
          <t>% TOP 4</t>
        </is>
      </c>
      <c r="L746" s="5" t="inlineStr">
        <is>
          <t>% TOP 5</t>
        </is>
      </c>
      <c r="M746" s="5" t="inlineStr">
        <is>
          <t>% ACUM.</t>
        </is>
      </c>
    </row>
    <row r="747">
      <c r="A747" s="35" t="inlineStr">
        <is>
          <t>DATOS GENERALES</t>
        </is>
      </c>
      <c r="B747" s="28" t="n"/>
      <c r="C747" s="28" t="n"/>
      <c r="D747" s="28" t="n"/>
      <c r="E747" s="28" t="n"/>
      <c r="F747" s="28" t="n"/>
      <c r="G747" s="28" t="n"/>
      <c r="H747" s="28" t="n"/>
      <c r="I747" s="28" t="n"/>
      <c r="J747" s="28" t="n"/>
      <c r="K747" s="28" t="n"/>
      <c r="L747" s="28" t="n"/>
      <c r="M747" s="28" t="n"/>
      <c r="N747" s="28" t="n"/>
    </row>
    <row r="748">
      <c r="A748" s="8" t="inlineStr">
        <is>
          <t>Mes</t>
        </is>
      </c>
      <c r="B748" s="9" t="inlineStr">
        <is>
          <t>NOVIEMBRE</t>
        </is>
      </c>
      <c r="E748" s="8" t="inlineStr">
        <is>
          <t>Año</t>
        </is>
      </c>
      <c r="F748" s="9" t="inlineStr">
        <is>
          <t>2026</t>
        </is>
      </c>
    </row>
    <row r="749">
      <c r="A749" s="8" t="inlineStr">
        <is>
          <t>Fecha de corte</t>
        </is>
      </c>
      <c r="B749" s="10" t="n"/>
      <c r="E749" s="8" t="inlineStr">
        <is>
          <t>Elaboró</t>
        </is>
      </c>
      <c r="F749" s="10" t="n"/>
    </row>
    <row r="750">
      <c r="A750" s="8" t="inlineStr">
        <is>
          <t>Reportado por</t>
        </is>
      </c>
      <c r="B750" s="10" t="n"/>
      <c r="E750" s="8" t="inlineStr">
        <is>
          <t>Cargo</t>
        </is>
      </c>
      <c r="F750" s="10" t="n"/>
    </row>
    <row r="751" ht="6" customHeight="1"/>
    <row r="752">
      <c r="A752" s="35" t="inlineStr">
        <is>
          <t>COBRANZA CORRIENTE</t>
        </is>
      </c>
      <c r="B752" s="28" t="n"/>
      <c r="C752" s="28" t="n"/>
      <c r="D752" s="28" t="n"/>
      <c r="E752" s="28" t="n"/>
      <c r="F752" s="28" t="n"/>
      <c r="G752" s="28" t="n"/>
      <c r="H752" s="28" t="n"/>
      <c r="I752" s="28" t="n"/>
      <c r="J752" s="28" t="n"/>
      <c r="K752" s="28" t="n"/>
      <c r="L752" s="28" t="n"/>
      <c r="M752" s="28" t="n"/>
      <c r="N752" s="28" t="n"/>
    </row>
    <row r="753" ht="20" customHeight="1">
      <c r="A753" s="8" t="inlineStr">
        <is>
          <t>Total</t>
        </is>
      </c>
      <c r="B753" s="11" t="n"/>
    </row>
    <row r="754" ht="18" customHeight="1">
      <c r="A754" s="12" t="inlineStr">
        <is>
          <t>Top 5</t>
        </is>
      </c>
      <c r="C754" s="13" t="n"/>
      <c r="D754" s="13" t="n"/>
      <c r="E754" s="13" t="n"/>
      <c r="F754" s="13" t="n"/>
      <c r="G754" s="13" t="n"/>
      <c r="H754" s="13" t="n"/>
      <c r="I754" s="13" t="n"/>
      <c r="J754" s="13" t="n"/>
      <c r="K754" s="13" t="n"/>
      <c r="L754" s="13" t="n"/>
      <c r="M754" s="13" t="n"/>
      <c r="N754" s="13" t="n"/>
    </row>
    <row r="755" ht="18" customHeight="1">
      <c r="A755" s="14" t="inlineStr">
        <is>
          <t>1er lugar</t>
        </is>
      </c>
      <c r="B755" s="15" t="n"/>
      <c r="C755" s="15" t="n"/>
      <c r="D755" s="15" t="n"/>
      <c r="E755" s="15" t="n"/>
      <c r="F755" s="15" t="n"/>
      <c r="G755" s="15" t="n"/>
      <c r="H755" s="15" t="n"/>
      <c r="I755" s="15" t="n"/>
      <c r="J755" s="15" t="n"/>
      <c r="K755" s="15" t="n"/>
      <c r="L755" s="15" t="n"/>
      <c r="M755" s="15" t="n"/>
      <c r="N755" s="15" t="n"/>
    </row>
    <row r="756" ht="18" customHeight="1">
      <c r="A756" s="14" t="inlineStr">
        <is>
          <t>2o lugar</t>
        </is>
      </c>
      <c r="B756" s="15" t="n"/>
      <c r="C756" s="15" t="n"/>
      <c r="D756" s="15" t="n"/>
      <c r="E756" s="15" t="n"/>
      <c r="F756" s="15" t="n"/>
      <c r="G756" s="15" t="n"/>
      <c r="H756" s="15" t="n"/>
      <c r="I756" s="15" t="n"/>
      <c r="J756" s="15" t="n"/>
      <c r="K756" s="15" t="n"/>
      <c r="L756" s="15" t="n"/>
      <c r="M756" s="15" t="n"/>
      <c r="N756" s="15" t="n"/>
    </row>
    <row r="757" ht="18" customHeight="1">
      <c r="A757" s="14" t="inlineStr">
        <is>
          <t>3er lugar</t>
        </is>
      </c>
      <c r="B757" s="15" t="n"/>
      <c r="C757" s="15" t="n"/>
      <c r="D757" s="15" t="n"/>
      <c r="E757" s="15" t="n"/>
      <c r="F757" s="15" t="n"/>
      <c r="G757" s="15" t="n"/>
      <c r="H757" s="15" t="n"/>
      <c r="I757" s="15" t="n"/>
      <c r="J757" s="15" t="n"/>
      <c r="K757" s="15" t="n"/>
      <c r="L757" s="15" t="n"/>
      <c r="M757" s="15" t="n"/>
      <c r="N757" s="15" t="n"/>
    </row>
    <row r="758" ht="18" customHeight="1">
      <c r="A758" s="14" t="inlineStr">
        <is>
          <t>4o lugar</t>
        </is>
      </c>
      <c r="B758" s="15" t="n"/>
      <c r="C758" s="15" t="n"/>
      <c r="D758" s="15" t="n"/>
      <c r="E758" s="15" t="n"/>
      <c r="F758" s="15" t="n"/>
      <c r="G758" s="15" t="n"/>
      <c r="H758" s="15" t="n"/>
      <c r="I758" s="15" t="n"/>
      <c r="J758" s="15" t="n"/>
      <c r="K758" s="15" t="n"/>
      <c r="L758" s="15" t="n"/>
      <c r="M758" s="15" t="n"/>
      <c r="N758" s="15" t="n"/>
    </row>
    <row r="759" ht="18" customHeight="1">
      <c r="A759" s="14" t="inlineStr">
        <is>
          <t>5o lugar</t>
        </is>
      </c>
      <c r="B759" s="15" t="n"/>
      <c r="C759" s="15" t="n"/>
      <c r="D759" s="15" t="n"/>
      <c r="E759" s="15" t="n"/>
      <c r="F759" s="15" t="n"/>
      <c r="G759" s="15" t="n"/>
      <c r="H759" s="15" t="n"/>
      <c r="I759" s="15" t="n"/>
      <c r="J759" s="15" t="n"/>
      <c r="K759" s="15" t="n"/>
      <c r="L759" s="15" t="n"/>
      <c r="M759" s="15" t="n"/>
      <c r="N759" s="15" t="n"/>
    </row>
    <row r="760" ht="6" customHeight="1"/>
    <row r="761">
      <c r="A761" s="35" t="inlineStr">
        <is>
          <t>CANCELACIONES</t>
        </is>
      </c>
      <c r="B761" s="28" t="n"/>
      <c r="C761" s="28" t="n"/>
      <c r="D761" s="28" t="n"/>
      <c r="E761" s="28" t="n"/>
      <c r="F761" s="28" t="n"/>
      <c r="G761" s="28" t="n"/>
      <c r="H761" s="28" t="n"/>
      <c r="I761" s="28" t="n"/>
      <c r="J761" s="28" t="n"/>
      <c r="K761" s="28" t="n"/>
      <c r="L761" s="28" t="n"/>
      <c r="M761" s="28" t="n"/>
      <c r="N761" s="28" t="n"/>
    </row>
    <row r="762" ht="20" customHeight="1">
      <c r="A762" s="16" t="inlineStr">
        <is>
          <t>Total</t>
        </is>
      </c>
      <c r="B762" s="17" t="n"/>
    </row>
    <row r="763" ht="18" customHeight="1">
      <c r="A763" s="12" t="inlineStr">
        <is>
          <t>Top 5</t>
        </is>
      </c>
      <c r="C763" s="13" t="n"/>
      <c r="D763" s="13" t="n"/>
      <c r="E763" s="13" t="n"/>
      <c r="F763" s="13" t="n"/>
      <c r="G763" s="13" t="n"/>
      <c r="H763" s="13" t="n"/>
      <c r="I763" s="13" t="n"/>
      <c r="J763" s="13" t="n"/>
      <c r="K763" s="13" t="n"/>
      <c r="L763" s="13" t="n"/>
      <c r="M763" s="13" t="n"/>
      <c r="N763" s="13" t="n"/>
    </row>
    <row r="764" ht="18" customHeight="1">
      <c r="A764" s="14" t="inlineStr">
        <is>
          <t>1er lugar</t>
        </is>
      </c>
      <c r="B764" s="15" t="n"/>
      <c r="C764" s="15" t="n"/>
      <c r="D764" s="15" t="n"/>
      <c r="E764" s="15" t="n"/>
      <c r="F764" s="15" t="n"/>
      <c r="G764" s="15" t="n"/>
      <c r="H764" s="15" t="n"/>
      <c r="I764" s="15" t="n"/>
      <c r="J764" s="15" t="n"/>
      <c r="K764" s="15" t="n"/>
      <c r="L764" s="15" t="n"/>
      <c r="M764" s="15" t="n"/>
      <c r="N764" s="15" t="n"/>
    </row>
    <row r="765" ht="18" customHeight="1">
      <c r="A765" s="14" t="inlineStr">
        <is>
          <t>2o lugar</t>
        </is>
      </c>
      <c r="B765" s="15" t="n"/>
      <c r="C765" s="15" t="n"/>
      <c r="D765" s="15" t="n"/>
      <c r="E765" s="15" t="n"/>
      <c r="F765" s="15" t="n"/>
      <c r="G765" s="15" t="n"/>
      <c r="H765" s="15" t="n"/>
      <c r="I765" s="15" t="n"/>
      <c r="J765" s="15" t="n"/>
      <c r="K765" s="15" t="n"/>
      <c r="L765" s="15" t="n"/>
      <c r="M765" s="15" t="n"/>
      <c r="N765" s="15" t="n"/>
    </row>
    <row r="766" ht="18" customHeight="1">
      <c r="A766" s="14" t="inlineStr">
        <is>
          <t>3er lugar</t>
        </is>
      </c>
      <c r="B766" s="15" t="n"/>
      <c r="C766" s="15" t="n"/>
      <c r="D766" s="15" t="n"/>
      <c r="E766" s="15" t="n"/>
      <c r="F766" s="15" t="n"/>
      <c r="G766" s="15" t="n"/>
      <c r="H766" s="15" t="n"/>
      <c r="I766" s="15" t="n"/>
      <c r="J766" s="15" t="n"/>
      <c r="K766" s="15" t="n"/>
      <c r="L766" s="15" t="n"/>
      <c r="M766" s="15" t="n"/>
      <c r="N766" s="15" t="n"/>
    </row>
    <row r="767" ht="18" customHeight="1">
      <c r="A767" s="14" t="inlineStr">
        <is>
          <t>4o lugar</t>
        </is>
      </c>
      <c r="B767" s="15" t="n"/>
      <c r="C767" s="15" t="n"/>
      <c r="D767" s="15" t="n"/>
      <c r="E767" s="15" t="n"/>
      <c r="F767" s="15" t="n"/>
      <c r="G767" s="15" t="n"/>
      <c r="H767" s="15" t="n"/>
      <c r="I767" s="15" t="n"/>
      <c r="J767" s="15" t="n"/>
      <c r="K767" s="15" t="n"/>
      <c r="L767" s="15" t="n"/>
      <c r="M767" s="15" t="n"/>
      <c r="N767" s="15" t="n"/>
    </row>
    <row r="768" ht="18" customHeight="1">
      <c r="A768" s="14" t="inlineStr">
        <is>
          <t>5o lugar</t>
        </is>
      </c>
      <c r="B768" s="15" t="n"/>
      <c r="C768" s="15" t="n"/>
      <c r="D768" s="15" t="n"/>
      <c r="E768" s="15" t="n"/>
      <c r="F768" s="15" t="n"/>
      <c r="G768" s="15" t="n"/>
      <c r="H768" s="15" t="n"/>
      <c r="I768" s="15" t="n"/>
      <c r="J768" s="15" t="n"/>
      <c r="K768" s="15" t="n"/>
      <c r="L768" s="15" t="n"/>
      <c r="M768" s="15" t="n"/>
      <c r="N768" s="15" t="n"/>
    </row>
    <row r="769" ht="6" customHeight="1"/>
    <row r="770">
      <c r="A770" s="35" t="inlineStr">
        <is>
          <t>COBRANZA VENCIDA</t>
        </is>
      </c>
      <c r="B770" s="28" t="n"/>
      <c r="C770" s="28" t="n"/>
      <c r="D770" s="28" t="n"/>
      <c r="E770" s="28" t="n"/>
      <c r="F770" s="28" t="n"/>
      <c r="G770" s="28" t="n"/>
      <c r="H770" s="28" t="n"/>
      <c r="I770" s="28" t="n"/>
      <c r="J770" s="28" t="n"/>
      <c r="K770" s="28" t="n"/>
      <c r="L770" s="28" t="n"/>
      <c r="M770" s="28" t="n"/>
      <c r="N770" s="28" t="n"/>
    </row>
    <row r="771" ht="20" customHeight="1">
      <c r="A771" s="8" t="inlineStr">
        <is>
          <t>Total</t>
        </is>
      </c>
      <c r="B771" s="11" t="n"/>
    </row>
    <row r="772" ht="18" customHeight="1">
      <c r="A772" s="12" t="inlineStr">
        <is>
          <t>Top 5</t>
        </is>
      </c>
      <c r="C772" s="13" t="n"/>
      <c r="D772" s="13" t="n"/>
      <c r="E772" s="13" t="n"/>
      <c r="F772" s="13" t="n"/>
      <c r="G772" s="13" t="n"/>
      <c r="H772" s="13" t="n"/>
      <c r="I772" s="13" t="n"/>
      <c r="J772" s="13" t="n"/>
      <c r="K772" s="13" t="n"/>
      <c r="L772" s="13" t="n"/>
      <c r="M772" s="13" t="n"/>
      <c r="N772" s="13" t="n"/>
    </row>
    <row r="773" ht="18" customHeight="1">
      <c r="A773" s="14" t="inlineStr">
        <is>
          <t>1er lugar</t>
        </is>
      </c>
      <c r="B773" s="15" t="n"/>
      <c r="C773" s="15" t="n"/>
      <c r="D773" s="15" t="n"/>
      <c r="E773" s="15" t="n"/>
      <c r="F773" s="15" t="n"/>
      <c r="G773" s="15" t="n"/>
      <c r="H773" s="15" t="n"/>
      <c r="I773" s="15" t="n"/>
      <c r="J773" s="15" t="n"/>
      <c r="K773" s="15" t="n"/>
      <c r="L773" s="15" t="n"/>
      <c r="M773" s="15" t="n"/>
      <c r="N773" s="15" t="n"/>
    </row>
    <row r="774" ht="18" customHeight="1">
      <c r="A774" s="14" t="inlineStr">
        <is>
          <t>2o lugar</t>
        </is>
      </c>
      <c r="B774" s="15" t="n"/>
      <c r="C774" s="15" t="n"/>
      <c r="D774" s="15" t="n"/>
      <c r="E774" s="15" t="n"/>
      <c r="F774" s="15" t="n"/>
      <c r="G774" s="15" t="n"/>
      <c r="H774" s="15" t="n"/>
      <c r="I774" s="15" t="n"/>
      <c r="J774" s="15" t="n"/>
      <c r="K774" s="15" t="n"/>
      <c r="L774" s="15" t="n"/>
      <c r="M774" s="15" t="n"/>
      <c r="N774" s="15" t="n"/>
    </row>
    <row r="775" ht="18" customHeight="1">
      <c r="A775" s="14" t="inlineStr">
        <is>
          <t>3er lugar</t>
        </is>
      </c>
      <c r="B775" s="15" t="n"/>
      <c r="C775" s="15" t="n"/>
      <c r="D775" s="15" t="n"/>
      <c r="E775" s="15" t="n"/>
      <c r="F775" s="15" t="n"/>
      <c r="G775" s="15" t="n"/>
      <c r="H775" s="15" t="n"/>
      <c r="I775" s="15" t="n"/>
      <c r="J775" s="15" t="n"/>
      <c r="K775" s="15" t="n"/>
      <c r="L775" s="15" t="n"/>
      <c r="M775" s="15" t="n"/>
      <c r="N775" s="15" t="n"/>
    </row>
    <row r="776" ht="18" customHeight="1">
      <c r="A776" s="14" t="inlineStr">
        <is>
          <t>4o lugar</t>
        </is>
      </c>
      <c r="B776" s="15" t="n"/>
      <c r="C776" s="15" t="n"/>
      <c r="D776" s="15" t="n"/>
      <c r="E776" s="15" t="n"/>
      <c r="F776" s="15" t="n"/>
      <c r="G776" s="15" t="n"/>
      <c r="H776" s="15" t="n"/>
      <c r="I776" s="15" t="n"/>
      <c r="J776" s="15" t="n"/>
      <c r="K776" s="15" t="n"/>
      <c r="L776" s="15" t="n"/>
      <c r="M776" s="15" t="n"/>
      <c r="N776" s="15" t="n"/>
    </row>
    <row r="777" ht="18" customHeight="1">
      <c r="A777" s="14" t="inlineStr">
        <is>
          <t>5o lugar</t>
        </is>
      </c>
      <c r="B777" s="15" t="n"/>
      <c r="C777" s="15" t="n"/>
      <c r="D777" s="15" t="n"/>
      <c r="E777" s="15" t="n"/>
      <c r="F777" s="15" t="n"/>
      <c r="G777" s="15" t="n"/>
      <c r="H777" s="15" t="n"/>
      <c r="I777" s="15" t="n"/>
      <c r="J777" s="15" t="n"/>
      <c r="K777" s="15" t="n"/>
      <c r="L777" s="15" t="n"/>
      <c r="M777" s="15" t="n"/>
      <c r="N777" s="15" t="n"/>
    </row>
    <row r="778" ht="6" customHeight="1"/>
    <row r="779">
      <c r="A779" s="35" t="inlineStr">
        <is>
          <t>COBRANZA EFECTIVA</t>
        </is>
      </c>
      <c r="B779" s="28" t="n"/>
      <c r="C779" s="28" t="n"/>
      <c r="D779" s="28" t="n"/>
      <c r="E779" s="28" t="n"/>
      <c r="F779" s="28" t="n"/>
      <c r="G779" s="28" t="n"/>
      <c r="H779" s="28" t="n"/>
      <c r="I779" s="28" t="n"/>
      <c r="J779" s="28" t="n"/>
      <c r="K779" s="28" t="n"/>
      <c r="L779" s="28" t="n"/>
      <c r="M779" s="28" t="n"/>
      <c r="N779" s="28" t="n"/>
    </row>
    <row r="780" ht="20" customHeight="1">
      <c r="A780" s="16" t="inlineStr">
        <is>
          <t>Total</t>
        </is>
      </c>
      <c r="B780" s="17" t="n"/>
    </row>
    <row r="781" ht="18" customHeight="1">
      <c r="A781" s="12" t="inlineStr">
        <is>
          <t>Top 5</t>
        </is>
      </c>
      <c r="C781" s="13" t="n"/>
      <c r="D781" s="13" t="n"/>
      <c r="E781" s="13" t="n"/>
      <c r="F781" s="13" t="n"/>
      <c r="G781" s="13" t="n"/>
      <c r="H781" s="13" t="n"/>
      <c r="I781" s="13" t="n"/>
      <c r="J781" s="13" t="n"/>
      <c r="K781" s="13" t="n"/>
      <c r="L781" s="13" t="n"/>
      <c r="M781" s="13" t="n"/>
      <c r="N781" s="13" t="n"/>
    </row>
    <row r="782" ht="18" customHeight="1">
      <c r="A782" s="14" t="inlineStr">
        <is>
          <t>1er lugar</t>
        </is>
      </c>
      <c r="B782" s="15" t="n"/>
      <c r="C782" s="15" t="n"/>
      <c r="D782" s="15" t="n"/>
      <c r="E782" s="15" t="n"/>
      <c r="F782" s="15" t="n"/>
      <c r="G782" s="15" t="n"/>
      <c r="H782" s="15" t="n"/>
      <c r="I782" s="15" t="n"/>
      <c r="J782" s="15" t="n"/>
      <c r="K782" s="15" t="n"/>
      <c r="L782" s="15" t="n"/>
      <c r="M782" s="15" t="n"/>
      <c r="N782" s="15" t="n"/>
    </row>
    <row r="783" ht="18" customHeight="1">
      <c r="A783" s="14" t="inlineStr">
        <is>
          <t>2o lugar</t>
        </is>
      </c>
      <c r="B783" s="15" t="n"/>
      <c r="C783" s="15" t="n"/>
      <c r="D783" s="15" t="n"/>
      <c r="E783" s="15" t="n"/>
      <c r="F783" s="15" t="n"/>
      <c r="G783" s="15" t="n"/>
      <c r="H783" s="15" t="n"/>
      <c r="I783" s="15" t="n"/>
      <c r="J783" s="15" t="n"/>
      <c r="K783" s="15" t="n"/>
      <c r="L783" s="15" t="n"/>
      <c r="M783" s="15" t="n"/>
      <c r="N783" s="15" t="n"/>
    </row>
    <row r="784" ht="18" customHeight="1">
      <c r="A784" s="14" t="inlineStr">
        <is>
          <t>3er lugar</t>
        </is>
      </c>
      <c r="B784" s="15" t="n"/>
      <c r="C784" s="15" t="n"/>
      <c r="D784" s="15" t="n"/>
      <c r="E784" s="15" t="n"/>
      <c r="F784" s="15" t="n"/>
      <c r="G784" s="15" t="n"/>
      <c r="H784" s="15" t="n"/>
      <c r="I784" s="15" t="n"/>
      <c r="J784" s="15" t="n"/>
      <c r="K784" s="15" t="n"/>
      <c r="L784" s="15" t="n"/>
      <c r="M784" s="15" t="n"/>
      <c r="N784" s="15" t="n"/>
    </row>
    <row r="785" ht="18" customHeight="1">
      <c r="A785" s="14" t="inlineStr">
        <is>
          <t>4o lugar</t>
        </is>
      </c>
      <c r="B785" s="15" t="n"/>
      <c r="C785" s="15" t="n"/>
      <c r="D785" s="15" t="n"/>
      <c r="E785" s="15" t="n"/>
      <c r="F785" s="15" t="n"/>
      <c r="G785" s="15" t="n"/>
      <c r="H785" s="15" t="n"/>
      <c r="I785" s="15" t="n"/>
      <c r="J785" s="15" t="n"/>
      <c r="K785" s="15" t="n"/>
      <c r="L785" s="15" t="n"/>
      <c r="M785" s="15" t="n"/>
      <c r="N785" s="15" t="n"/>
    </row>
    <row r="786" ht="18" customHeight="1">
      <c r="A786" s="14" t="inlineStr">
        <is>
          <t>5o lugar</t>
        </is>
      </c>
      <c r="B786" s="15" t="n"/>
      <c r="C786" s="15" t="n"/>
      <c r="D786" s="15" t="n"/>
      <c r="E786" s="15" t="n"/>
      <c r="F786" s="15" t="n"/>
      <c r="G786" s="15" t="n"/>
      <c r="H786" s="15" t="n"/>
      <c r="I786" s="15" t="n"/>
      <c r="J786" s="15" t="n"/>
      <c r="K786" s="15" t="n"/>
      <c r="L786" s="15" t="n"/>
      <c r="M786" s="15" t="n"/>
      <c r="N786" s="15" t="n"/>
    </row>
    <row r="787" ht="6" customHeight="1"/>
    <row r="788">
      <c r="A788" s="35" t="inlineStr">
        <is>
          <t>COBRANZA RECUPERADA</t>
        </is>
      </c>
      <c r="B788" s="28" t="n"/>
      <c r="C788" s="28" t="n"/>
      <c r="D788" s="28" t="n"/>
      <c r="E788" s="28" t="n"/>
      <c r="F788" s="28" t="n"/>
      <c r="G788" s="28" t="n"/>
      <c r="H788" s="28" t="n"/>
      <c r="I788" s="28" t="n"/>
      <c r="J788" s="28" t="n"/>
      <c r="K788" s="28" t="n"/>
      <c r="L788" s="28" t="n"/>
      <c r="M788" s="28" t="n"/>
      <c r="N788" s="28" t="n"/>
    </row>
    <row r="789" ht="20" customHeight="1">
      <c r="A789" s="8" t="inlineStr">
        <is>
          <t>Total</t>
        </is>
      </c>
      <c r="B789" s="11" t="n"/>
    </row>
    <row r="790" ht="18" customHeight="1">
      <c r="A790" s="12" t="inlineStr">
        <is>
          <t>Top 5</t>
        </is>
      </c>
      <c r="C790" s="13" t="n"/>
      <c r="D790" s="13" t="n"/>
      <c r="E790" s="13" t="n"/>
      <c r="F790" s="13" t="n"/>
      <c r="G790" s="13" t="n"/>
      <c r="H790" s="13" t="n"/>
      <c r="I790" s="13" t="n"/>
      <c r="J790" s="13" t="n"/>
      <c r="K790" s="13" t="n"/>
      <c r="L790" s="13" t="n"/>
      <c r="M790" s="13" t="n"/>
      <c r="N790" s="13" t="n"/>
    </row>
    <row r="791" ht="18" customHeight="1">
      <c r="A791" s="14" t="inlineStr">
        <is>
          <t>1er lugar</t>
        </is>
      </c>
      <c r="B791" s="15" t="n"/>
      <c r="C791" s="15" t="n"/>
      <c r="D791" s="15" t="n"/>
      <c r="E791" s="15" t="n"/>
      <c r="F791" s="15" t="n"/>
      <c r="G791" s="15" t="n"/>
      <c r="H791" s="15" t="n"/>
      <c r="I791" s="15" t="n"/>
      <c r="J791" s="15" t="n"/>
      <c r="K791" s="15" t="n"/>
      <c r="L791" s="15" t="n"/>
      <c r="M791" s="15" t="n"/>
      <c r="N791" s="15" t="n"/>
    </row>
    <row r="792" ht="18" customHeight="1">
      <c r="A792" s="14" t="inlineStr">
        <is>
          <t>2o lugar</t>
        </is>
      </c>
      <c r="B792" s="15" t="n"/>
      <c r="C792" s="15" t="n"/>
      <c r="D792" s="15" t="n"/>
      <c r="E792" s="15" t="n"/>
      <c r="F792" s="15" t="n"/>
      <c r="G792" s="15" t="n"/>
      <c r="H792" s="15" t="n"/>
      <c r="I792" s="15" t="n"/>
      <c r="J792" s="15" t="n"/>
      <c r="K792" s="15" t="n"/>
      <c r="L792" s="15" t="n"/>
      <c r="M792" s="15" t="n"/>
      <c r="N792" s="15" t="n"/>
    </row>
    <row r="793" ht="18" customHeight="1">
      <c r="A793" s="14" t="inlineStr">
        <is>
          <t>3er lugar</t>
        </is>
      </c>
      <c r="B793" s="15" t="n"/>
      <c r="C793" s="15" t="n"/>
      <c r="D793" s="15" t="n"/>
      <c r="E793" s="15" t="n"/>
      <c r="F793" s="15" t="n"/>
      <c r="G793" s="15" t="n"/>
      <c r="H793" s="15" t="n"/>
      <c r="I793" s="15" t="n"/>
      <c r="J793" s="15" t="n"/>
      <c r="K793" s="15" t="n"/>
      <c r="L793" s="15" t="n"/>
      <c r="M793" s="15" t="n"/>
      <c r="N793" s="15" t="n"/>
    </row>
    <row r="794" ht="18" customHeight="1">
      <c r="A794" s="14" t="inlineStr">
        <is>
          <t>4o lugar</t>
        </is>
      </c>
      <c r="B794" s="15" t="n"/>
      <c r="C794" s="15" t="n"/>
      <c r="D794" s="15" t="n"/>
      <c r="E794" s="15" t="n"/>
      <c r="F794" s="15" t="n"/>
      <c r="G794" s="15" t="n"/>
      <c r="H794" s="15" t="n"/>
      <c r="I794" s="15" t="n"/>
      <c r="J794" s="15" t="n"/>
      <c r="K794" s="15" t="n"/>
      <c r="L794" s="15" t="n"/>
      <c r="M794" s="15" t="n"/>
      <c r="N794" s="15" t="n"/>
    </row>
    <row r="795" ht="18" customHeight="1">
      <c r="A795" s="14" t="inlineStr">
        <is>
          <t>5o lugar</t>
        </is>
      </c>
      <c r="B795" s="15" t="n"/>
      <c r="C795" s="15" t="n"/>
      <c r="D795" s="15" t="n"/>
      <c r="E795" s="15" t="n"/>
      <c r="F795" s="15" t="n"/>
      <c r="G795" s="15" t="n"/>
      <c r="H795" s="15" t="n"/>
      <c r="I795" s="15" t="n"/>
      <c r="J795" s="15" t="n"/>
      <c r="K795" s="15" t="n"/>
      <c r="L795" s="15" t="n"/>
      <c r="M795" s="15" t="n"/>
      <c r="N795" s="15" t="n"/>
    </row>
    <row r="796" ht="6" customHeight="1"/>
    <row r="797">
      <c r="A797" s="35" t="inlineStr">
        <is>
          <t>COBRANZA TOTAL GENERAL</t>
        </is>
      </c>
      <c r="B797" s="28" t="n"/>
      <c r="C797" s="28" t="n"/>
      <c r="D797" s="28" t="n"/>
      <c r="E797" s="28" t="n"/>
      <c r="F797" s="28" t="n"/>
      <c r="G797" s="28" t="n"/>
      <c r="H797" s="28" t="n"/>
      <c r="I797" s="28" t="n"/>
      <c r="J797" s="28" t="n"/>
      <c r="K797" s="28" t="n"/>
      <c r="L797" s="28" t="n"/>
      <c r="M797" s="28" t="n"/>
      <c r="N797" s="28" t="n"/>
    </row>
    <row r="798" ht="20" customHeight="1">
      <c r="A798" s="16" t="inlineStr">
        <is>
          <t>Total</t>
        </is>
      </c>
      <c r="B798" s="17" t="n"/>
    </row>
    <row r="799" ht="18" customHeight="1">
      <c r="A799" s="12" t="inlineStr">
        <is>
          <t>Top 5</t>
        </is>
      </c>
      <c r="C799" s="13" t="n"/>
      <c r="D799" s="13" t="n"/>
      <c r="E799" s="13" t="n"/>
      <c r="F799" s="13" t="n"/>
      <c r="G799" s="13" t="n"/>
      <c r="H799" s="13" t="n"/>
      <c r="I799" s="13" t="n"/>
      <c r="J799" s="13" t="n"/>
      <c r="K799" s="13" t="n"/>
      <c r="L799" s="13" t="n"/>
      <c r="M799" s="13" t="n"/>
      <c r="N799" s="13" t="n"/>
    </row>
    <row r="800" ht="18" customHeight="1">
      <c r="A800" s="14" t="inlineStr">
        <is>
          <t>1er lugar</t>
        </is>
      </c>
      <c r="B800" s="15" t="n"/>
      <c r="C800" s="15" t="n"/>
      <c r="D800" s="15" t="n"/>
      <c r="E800" s="15" t="n"/>
      <c r="F800" s="15" t="n"/>
      <c r="G800" s="15" t="n"/>
      <c r="H800" s="15" t="n"/>
      <c r="I800" s="15" t="n"/>
      <c r="J800" s="15" t="n"/>
      <c r="K800" s="15" t="n"/>
      <c r="L800" s="15" t="n"/>
      <c r="M800" s="15" t="n"/>
      <c r="N800" s="15" t="n"/>
    </row>
    <row r="801" ht="18" customHeight="1">
      <c r="A801" s="14" t="inlineStr">
        <is>
          <t>2o lugar</t>
        </is>
      </c>
      <c r="B801" s="15" t="n"/>
      <c r="C801" s="15" t="n"/>
      <c r="D801" s="15" t="n"/>
      <c r="E801" s="15" t="n"/>
      <c r="F801" s="15" t="n"/>
      <c r="G801" s="15" t="n"/>
      <c r="H801" s="15" t="n"/>
      <c r="I801" s="15" t="n"/>
      <c r="J801" s="15" t="n"/>
      <c r="K801" s="15" t="n"/>
      <c r="L801" s="15" t="n"/>
      <c r="M801" s="15" t="n"/>
      <c r="N801" s="15" t="n"/>
    </row>
    <row r="802" ht="18" customHeight="1">
      <c r="A802" s="14" t="inlineStr">
        <is>
          <t>3er lugar</t>
        </is>
      </c>
      <c r="B802" s="15" t="n"/>
      <c r="C802" s="15" t="n"/>
      <c r="D802" s="15" t="n"/>
      <c r="E802" s="15" t="n"/>
      <c r="F802" s="15" t="n"/>
      <c r="G802" s="15" t="n"/>
      <c r="H802" s="15" t="n"/>
      <c r="I802" s="15" t="n"/>
      <c r="J802" s="15" t="n"/>
      <c r="K802" s="15" t="n"/>
      <c r="L802" s="15" t="n"/>
      <c r="M802" s="15" t="n"/>
      <c r="N802" s="15" t="n"/>
    </row>
    <row r="803" ht="18" customHeight="1">
      <c r="A803" s="14" t="inlineStr">
        <is>
          <t>4o lugar</t>
        </is>
      </c>
      <c r="B803" s="15" t="n"/>
      <c r="C803" s="15" t="n"/>
      <c r="D803" s="15" t="n"/>
      <c r="E803" s="15" t="n"/>
      <c r="F803" s="15" t="n"/>
      <c r="G803" s="15" t="n"/>
      <c r="H803" s="15" t="n"/>
      <c r="I803" s="15" t="n"/>
      <c r="J803" s="15" t="n"/>
      <c r="K803" s="15" t="n"/>
      <c r="L803" s="15" t="n"/>
      <c r="M803" s="15" t="n"/>
      <c r="N803" s="15" t="n"/>
    </row>
    <row r="804" ht="18" customHeight="1">
      <c r="A804" s="14" t="inlineStr">
        <is>
          <t>5o lugar</t>
        </is>
      </c>
      <c r="B804" s="15" t="n"/>
      <c r="C804" s="15" t="n"/>
      <c r="D804" s="15" t="n"/>
      <c r="E804" s="15" t="n"/>
      <c r="F804" s="15" t="n"/>
      <c r="G804" s="15" t="n"/>
      <c r="H804" s="15" t="n"/>
      <c r="I804" s="15" t="n"/>
      <c r="J804" s="15" t="n"/>
      <c r="K804" s="15" t="n"/>
      <c r="L804" s="15" t="n"/>
      <c r="M804" s="15" t="n"/>
      <c r="N804" s="15" t="n"/>
    </row>
    <row r="805" ht="6" customHeight="1"/>
    <row r="806">
      <c r="A806" s="35" t="inlineStr">
        <is>
          <t>COBRANZA ADELANTADA F.</t>
        </is>
      </c>
      <c r="B806" s="28" t="n"/>
      <c r="C806" s="28" t="n"/>
      <c r="D806" s="28" t="n"/>
      <c r="E806" s="28" t="n"/>
      <c r="F806" s="28" t="n"/>
      <c r="G806" s="28" t="n"/>
      <c r="H806" s="28" t="n"/>
      <c r="I806" s="28" t="n"/>
      <c r="J806" s="28" t="n"/>
      <c r="K806" s="28" t="n"/>
      <c r="L806" s="28" t="n"/>
      <c r="M806" s="28" t="n"/>
      <c r="N806" s="28" t="n"/>
    </row>
    <row r="807" ht="20" customHeight="1">
      <c r="A807" s="8" t="inlineStr">
        <is>
          <t>Total</t>
        </is>
      </c>
      <c r="B807" s="11" t="n"/>
    </row>
    <row r="808" ht="18" customHeight="1">
      <c r="A808" s="12" t="inlineStr">
        <is>
          <t>Top 5</t>
        </is>
      </c>
      <c r="C808" s="13" t="n"/>
      <c r="D808" s="13" t="n"/>
      <c r="E808" s="13" t="n"/>
      <c r="F808" s="13" t="n"/>
      <c r="G808" s="13" t="n"/>
      <c r="H808" s="13" t="n"/>
      <c r="I808" s="13" t="n"/>
      <c r="J808" s="13" t="n"/>
      <c r="K808" s="13" t="n"/>
      <c r="L808" s="13" t="n"/>
      <c r="M808" s="13" t="n"/>
      <c r="N808" s="13" t="n"/>
    </row>
    <row r="809" ht="18" customHeight="1">
      <c r="A809" s="14" t="inlineStr">
        <is>
          <t>1er lugar</t>
        </is>
      </c>
      <c r="B809" s="15" t="n"/>
      <c r="C809" s="15" t="n"/>
      <c r="D809" s="15" t="n"/>
      <c r="E809" s="15" t="n"/>
      <c r="F809" s="15" t="n"/>
      <c r="G809" s="15" t="n"/>
      <c r="H809" s="15" t="n"/>
      <c r="I809" s="15" t="n"/>
      <c r="J809" s="15" t="n"/>
      <c r="K809" s="15" t="n"/>
      <c r="L809" s="15" t="n"/>
      <c r="M809" s="15" t="n"/>
      <c r="N809" s="15" t="n"/>
    </row>
    <row r="810" ht="18" customHeight="1">
      <c r="A810" s="14" t="inlineStr">
        <is>
          <t>2o lugar</t>
        </is>
      </c>
      <c r="B810" s="15" t="n"/>
      <c r="C810" s="15" t="n"/>
      <c r="D810" s="15" t="n"/>
      <c r="E810" s="15" t="n"/>
      <c r="F810" s="15" t="n"/>
      <c r="G810" s="15" t="n"/>
      <c r="H810" s="15" t="n"/>
      <c r="I810" s="15" t="n"/>
      <c r="J810" s="15" t="n"/>
      <c r="K810" s="15" t="n"/>
      <c r="L810" s="15" t="n"/>
      <c r="M810" s="15" t="n"/>
      <c r="N810" s="15" t="n"/>
    </row>
    <row r="811" ht="18" customHeight="1">
      <c r="A811" s="14" t="inlineStr">
        <is>
          <t>3er lugar</t>
        </is>
      </c>
      <c r="B811" s="15" t="n"/>
      <c r="C811" s="15" t="n"/>
      <c r="D811" s="15" t="n"/>
      <c r="E811" s="15" t="n"/>
      <c r="F811" s="15" t="n"/>
      <c r="G811" s="15" t="n"/>
      <c r="H811" s="15" t="n"/>
      <c r="I811" s="15" t="n"/>
      <c r="J811" s="15" t="n"/>
      <c r="K811" s="15" t="n"/>
      <c r="L811" s="15" t="n"/>
      <c r="M811" s="15" t="n"/>
      <c r="N811" s="15" t="n"/>
    </row>
    <row r="812" ht="18" customHeight="1">
      <c r="A812" s="14" t="inlineStr">
        <is>
          <t>4o lugar</t>
        </is>
      </c>
      <c r="B812" s="15" t="n"/>
      <c r="C812" s="15" t="n"/>
      <c r="D812" s="15" t="n"/>
      <c r="E812" s="15" t="n"/>
      <c r="F812" s="15" t="n"/>
      <c r="G812" s="15" t="n"/>
      <c r="H812" s="15" t="n"/>
      <c r="I812" s="15" t="n"/>
      <c r="J812" s="15" t="n"/>
      <c r="K812" s="15" t="n"/>
      <c r="L812" s="15" t="n"/>
      <c r="M812" s="15" t="n"/>
      <c r="N812" s="15" t="n"/>
    </row>
    <row r="813" ht="18" customHeight="1">
      <c r="A813" s="14" t="inlineStr">
        <is>
          <t>5o lugar</t>
        </is>
      </c>
      <c r="B813" s="15" t="n"/>
      <c r="C813" s="15" t="n"/>
      <c r="D813" s="15" t="n"/>
      <c r="E813" s="15" t="n"/>
      <c r="F813" s="15" t="n"/>
      <c r="G813" s="15" t="n"/>
      <c r="H813" s="15" t="n"/>
      <c r="I813" s="15" t="n"/>
      <c r="J813" s="15" t="n"/>
      <c r="K813" s="15" t="n"/>
      <c r="L813" s="15" t="n"/>
      <c r="M813" s="15" t="n"/>
      <c r="N813" s="15" t="n"/>
    </row>
    <row r="814" ht="6" customHeight="1"/>
    <row r="815">
      <c r="A815" s="82" t="inlineStr">
        <is>
          <t>PROYECCIÓN NOVIEMBRE → NOVIEMBRE</t>
        </is>
      </c>
      <c r="B815" s="28" t="n"/>
      <c r="C815" s="28" t="n"/>
      <c r="D815" s="28" t="n"/>
      <c r="E815" s="28" t="n"/>
      <c r="F815" s="28" t="n"/>
      <c r="G815" s="28" t="n"/>
      <c r="H815" s="28" t="n"/>
      <c r="I815" s="28" t="n"/>
      <c r="J815" s="28" t="n"/>
      <c r="K815" s="28" t="n"/>
      <c r="L815" s="28" t="n"/>
      <c r="M815" s="28" t="n"/>
      <c r="N815" s="28" t="n"/>
    </row>
    <row r="816">
      <c r="A816" s="19" t="inlineStr">
        <is>
          <t>Proyección NOVIEMBRE</t>
        </is>
      </c>
      <c r="B816" s="20" t="n"/>
    </row>
    <row r="818" ht="14" customHeight="1"/>
    <row r="819" ht="22" customHeight="1">
      <c r="A819" s="4" t="inlineStr">
        <is>
          <t>DICIEMBRE 2026</t>
        </is>
      </c>
    </row>
    <row r="820" ht="28" customHeight="1">
      <c r="A820" s="5" t="inlineStr">
        <is>
          <t>CONCEPTO</t>
        </is>
      </c>
      <c r="B820" s="5" t="inlineStr">
        <is>
          <t>TOTAL ($)</t>
        </is>
      </c>
      <c r="C820" s="5" t="inlineStr">
        <is>
          <t>TOP 1</t>
        </is>
      </c>
      <c r="D820" s="5" t="inlineStr">
        <is>
          <t>TOP 2</t>
        </is>
      </c>
      <c r="E820" s="5" t="inlineStr">
        <is>
          <t>TOP 3</t>
        </is>
      </c>
      <c r="F820" s="5" t="inlineStr">
        <is>
          <t>TOP 4</t>
        </is>
      </c>
      <c r="G820" s="5" t="inlineStr">
        <is>
          <t>TOP 5</t>
        </is>
      </c>
      <c r="H820" s="5" t="inlineStr">
        <is>
          <t>% TOP 1</t>
        </is>
      </c>
      <c r="I820" s="5" t="inlineStr">
        <is>
          <t>% TOP 2</t>
        </is>
      </c>
      <c r="J820" s="5" t="inlineStr">
        <is>
          <t>% TOP 3</t>
        </is>
      </c>
      <c r="K820" s="5" t="inlineStr">
        <is>
          <t>% TOP 4</t>
        </is>
      </c>
      <c r="L820" s="5" t="inlineStr">
        <is>
          <t>% TOP 5</t>
        </is>
      </c>
      <c r="M820" s="5" t="inlineStr">
        <is>
          <t>% ACUM.</t>
        </is>
      </c>
    </row>
    <row r="821">
      <c r="A821" s="35" t="inlineStr">
        <is>
          <t>DATOS GENERALES</t>
        </is>
      </c>
      <c r="B821" s="28" t="n"/>
      <c r="C821" s="28" t="n"/>
      <c r="D821" s="28" t="n"/>
      <c r="E821" s="28" t="n"/>
      <c r="F821" s="28" t="n"/>
      <c r="G821" s="28" t="n"/>
      <c r="H821" s="28" t="n"/>
      <c r="I821" s="28" t="n"/>
      <c r="J821" s="28" t="n"/>
      <c r="K821" s="28" t="n"/>
      <c r="L821" s="28" t="n"/>
      <c r="M821" s="28" t="n"/>
      <c r="N821" s="28" t="n"/>
    </row>
    <row r="822">
      <c r="A822" s="8" t="inlineStr">
        <is>
          <t>Mes</t>
        </is>
      </c>
      <c r="B822" s="9" t="inlineStr">
        <is>
          <t>DICIEMBRE</t>
        </is>
      </c>
      <c r="E822" s="8" t="inlineStr">
        <is>
          <t>Año</t>
        </is>
      </c>
      <c r="F822" s="9" t="inlineStr">
        <is>
          <t>2026</t>
        </is>
      </c>
    </row>
    <row r="823">
      <c r="A823" s="8" t="inlineStr">
        <is>
          <t>Fecha de corte</t>
        </is>
      </c>
      <c r="B823" s="10" t="n"/>
      <c r="E823" s="8" t="inlineStr">
        <is>
          <t>Elaboró</t>
        </is>
      </c>
      <c r="F823" s="10" t="n"/>
    </row>
    <row r="824">
      <c r="A824" s="8" t="inlineStr">
        <is>
          <t>Reportado por</t>
        </is>
      </c>
      <c r="B824" s="10" t="n"/>
      <c r="E824" s="8" t="inlineStr">
        <is>
          <t>Cargo</t>
        </is>
      </c>
      <c r="F824" s="10" t="n"/>
    </row>
    <row r="825" ht="6" customHeight="1"/>
    <row r="826">
      <c r="A826" s="35" t="inlineStr">
        <is>
          <t>COBRANZA CORRIENTE</t>
        </is>
      </c>
      <c r="B826" s="28" t="n"/>
      <c r="C826" s="28" t="n"/>
      <c r="D826" s="28" t="n"/>
      <c r="E826" s="28" t="n"/>
      <c r="F826" s="28" t="n"/>
      <c r="G826" s="28" t="n"/>
      <c r="H826" s="28" t="n"/>
      <c r="I826" s="28" t="n"/>
      <c r="J826" s="28" t="n"/>
      <c r="K826" s="28" t="n"/>
      <c r="L826" s="28" t="n"/>
      <c r="M826" s="28" t="n"/>
      <c r="N826" s="28" t="n"/>
    </row>
    <row r="827" ht="20" customHeight="1">
      <c r="A827" s="8" t="inlineStr">
        <is>
          <t>Total</t>
        </is>
      </c>
      <c r="B827" s="11" t="n"/>
    </row>
    <row r="828" ht="18" customHeight="1">
      <c r="A828" s="12" t="inlineStr">
        <is>
          <t>Top 5</t>
        </is>
      </c>
      <c r="C828" s="13" t="n"/>
      <c r="D828" s="13" t="n"/>
      <c r="E828" s="13" t="n"/>
      <c r="F828" s="13" t="n"/>
      <c r="G828" s="13" t="n"/>
      <c r="H828" s="13" t="n"/>
      <c r="I828" s="13" t="n"/>
      <c r="J828" s="13" t="n"/>
      <c r="K828" s="13" t="n"/>
      <c r="L828" s="13" t="n"/>
      <c r="M828" s="13" t="n"/>
      <c r="N828" s="13" t="n"/>
    </row>
    <row r="829" ht="18" customHeight="1">
      <c r="A829" s="14" t="inlineStr">
        <is>
          <t>1er lugar</t>
        </is>
      </c>
      <c r="B829" s="15" t="n"/>
      <c r="C829" s="15" t="n"/>
      <c r="D829" s="15" t="n"/>
      <c r="E829" s="15" t="n"/>
      <c r="F829" s="15" t="n"/>
      <c r="G829" s="15" t="n"/>
      <c r="H829" s="15" t="n"/>
      <c r="I829" s="15" t="n"/>
      <c r="J829" s="15" t="n"/>
      <c r="K829" s="15" t="n"/>
      <c r="L829" s="15" t="n"/>
      <c r="M829" s="15" t="n"/>
      <c r="N829" s="15" t="n"/>
    </row>
    <row r="830" ht="18" customHeight="1">
      <c r="A830" s="14" t="inlineStr">
        <is>
          <t>2o lugar</t>
        </is>
      </c>
      <c r="B830" s="15" t="n"/>
      <c r="C830" s="15" t="n"/>
      <c r="D830" s="15" t="n"/>
      <c r="E830" s="15" t="n"/>
      <c r="F830" s="15" t="n"/>
      <c r="G830" s="15" t="n"/>
      <c r="H830" s="15" t="n"/>
      <c r="I830" s="15" t="n"/>
      <c r="J830" s="15" t="n"/>
      <c r="K830" s="15" t="n"/>
      <c r="L830" s="15" t="n"/>
      <c r="M830" s="15" t="n"/>
      <c r="N830" s="15" t="n"/>
    </row>
    <row r="831" ht="18" customHeight="1">
      <c r="A831" s="14" t="inlineStr">
        <is>
          <t>3er lugar</t>
        </is>
      </c>
      <c r="B831" s="15" t="n"/>
      <c r="C831" s="15" t="n"/>
      <c r="D831" s="15" t="n"/>
      <c r="E831" s="15" t="n"/>
      <c r="F831" s="15" t="n"/>
      <c r="G831" s="15" t="n"/>
      <c r="H831" s="15" t="n"/>
      <c r="I831" s="15" t="n"/>
      <c r="J831" s="15" t="n"/>
      <c r="K831" s="15" t="n"/>
      <c r="L831" s="15" t="n"/>
      <c r="M831" s="15" t="n"/>
      <c r="N831" s="15" t="n"/>
    </row>
    <row r="832" ht="18" customHeight="1">
      <c r="A832" s="14" t="inlineStr">
        <is>
          <t>4o lugar</t>
        </is>
      </c>
      <c r="B832" s="15" t="n"/>
      <c r="C832" s="15" t="n"/>
      <c r="D832" s="15" t="n"/>
      <c r="E832" s="15" t="n"/>
      <c r="F832" s="15" t="n"/>
      <c r="G832" s="15" t="n"/>
      <c r="H832" s="15" t="n"/>
      <c r="I832" s="15" t="n"/>
      <c r="J832" s="15" t="n"/>
      <c r="K832" s="15" t="n"/>
      <c r="L832" s="15" t="n"/>
      <c r="M832" s="15" t="n"/>
      <c r="N832" s="15" t="n"/>
    </row>
    <row r="833" ht="18" customHeight="1">
      <c r="A833" s="14" t="inlineStr">
        <is>
          <t>5o lugar</t>
        </is>
      </c>
      <c r="B833" s="15" t="n"/>
      <c r="C833" s="15" t="n"/>
      <c r="D833" s="15" t="n"/>
      <c r="E833" s="15" t="n"/>
      <c r="F833" s="15" t="n"/>
      <c r="G833" s="15" t="n"/>
      <c r="H833" s="15" t="n"/>
      <c r="I833" s="15" t="n"/>
      <c r="J833" s="15" t="n"/>
      <c r="K833" s="15" t="n"/>
      <c r="L833" s="15" t="n"/>
      <c r="M833" s="15" t="n"/>
      <c r="N833" s="15" t="n"/>
    </row>
    <row r="834" ht="6" customHeight="1"/>
    <row r="835">
      <c r="A835" s="35" t="inlineStr">
        <is>
          <t>CANCELACIONES</t>
        </is>
      </c>
      <c r="B835" s="28" t="n"/>
      <c r="C835" s="28" t="n"/>
      <c r="D835" s="28" t="n"/>
      <c r="E835" s="28" t="n"/>
      <c r="F835" s="28" t="n"/>
      <c r="G835" s="28" t="n"/>
      <c r="H835" s="28" t="n"/>
      <c r="I835" s="28" t="n"/>
      <c r="J835" s="28" t="n"/>
      <c r="K835" s="28" t="n"/>
      <c r="L835" s="28" t="n"/>
      <c r="M835" s="28" t="n"/>
      <c r="N835" s="28" t="n"/>
    </row>
    <row r="836" ht="20" customHeight="1">
      <c r="A836" s="16" t="inlineStr">
        <is>
          <t>Total</t>
        </is>
      </c>
      <c r="B836" s="17" t="n"/>
    </row>
    <row r="837" ht="18" customHeight="1">
      <c r="A837" s="12" t="inlineStr">
        <is>
          <t>Top 5</t>
        </is>
      </c>
      <c r="C837" s="13" t="n"/>
      <c r="D837" s="13" t="n"/>
      <c r="E837" s="13" t="n"/>
      <c r="F837" s="13" t="n"/>
      <c r="G837" s="13" t="n"/>
      <c r="H837" s="13" t="n"/>
      <c r="I837" s="13" t="n"/>
      <c r="J837" s="13" t="n"/>
      <c r="K837" s="13" t="n"/>
      <c r="L837" s="13" t="n"/>
      <c r="M837" s="13" t="n"/>
      <c r="N837" s="13" t="n"/>
    </row>
    <row r="838" ht="18" customHeight="1">
      <c r="A838" s="14" t="inlineStr">
        <is>
          <t>1er lugar</t>
        </is>
      </c>
      <c r="B838" s="15" t="n"/>
      <c r="C838" s="15" t="n"/>
      <c r="D838" s="15" t="n"/>
      <c r="E838" s="15" t="n"/>
      <c r="F838" s="15" t="n"/>
      <c r="G838" s="15" t="n"/>
      <c r="H838" s="15" t="n"/>
      <c r="I838" s="15" t="n"/>
      <c r="J838" s="15" t="n"/>
      <c r="K838" s="15" t="n"/>
      <c r="L838" s="15" t="n"/>
      <c r="M838" s="15" t="n"/>
      <c r="N838" s="15" t="n"/>
    </row>
    <row r="839" ht="18" customHeight="1">
      <c r="A839" s="14" t="inlineStr">
        <is>
          <t>2o lugar</t>
        </is>
      </c>
      <c r="B839" s="15" t="n"/>
      <c r="C839" s="15" t="n"/>
      <c r="D839" s="15" t="n"/>
      <c r="E839" s="15" t="n"/>
      <c r="F839" s="15" t="n"/>
      <c r="G839" s="15" t="n"/>
      <c r="H839" s="15" t="n"/>
      <c r="I839" s="15" t="n"/>
      <c r="J839" s="15" t="n"/>
      <c r="K839" s="15" t="n"/>
      <c r="L839" s="15" t="n"/>
      <c r="M839" s="15" t="n"/>
      <c r="N839" s="15" t="n"/>
    </row>
    <row r="840" ht="18" customHeight="1">
      <c r="A840" s="14" t="inlineStr">
        <is>
          <t>3er lugar</t>
        </is>
      </c>
      <c r="B840" s="15" t="n"/>
      <c r="C840" s="15" t="n"/>
      <c r="D840" s="15" t="n"/>
      <c r="E840" s="15" t="n"/>
      <c r="F840" s="15" t="n"/>
      <c r="G840" s="15" t="n"/>
      <c r="H840" s="15" t="n"/>
      <c r="I840" s="15" t="n"/>
      <c r="J840" s="15" t="n"/>
      <c r="K840" s="15" t="n"/>
      <c r="L840" s="15" t="n"/>
      <c r="M840" s="15" t="n"/>
      <c r="N840" s="15" t="n"/>
    </row>
    <row r="841" ht="18" customHeight="1">
      <c r="A841" s="14" t="inlineStr">
        <is>
          <t>4o lugar</t>
        </is>
      </c>
      <c r="B841" s="15" t="n"/>
      <c r="C841" s="15" t="n"/>
      <c r="D841" s="15" t="n"/>
      <c r="E841" s="15" t="n"/>
      <c r="F841" s="15" t="n"/>
      <c r="G841" s="15" t="n"/>
      <c r="H841" s="15" t="n"/>
      <c r="I841" s="15" t="n"/>
      <c r="J841" s="15" t="n"/>
      <c r="K841" s="15" t="n"/>
      <c r="L841" s="15" t="n"/>
      <c r="M841" s="15" t="n"/>
      <c r="N841" s="15" t="n"/>
    </row>
    <row r="842" ht="18" customHeight="1">
      <c r="A842" s="14" t="inlineStr">
        <is>
          <t>5o lugar</t>
        </is>
      </c>
      <c r="B842" s="15" t="n"/>
      <c r="C842" s="15" t="n"/>
      <c r="D842" s="15" t="n"/>
      <c r="E842" s="15" t="n"/>
      <c r="F842" s="15" t="n"/>
      <c r="G842" s="15" t="n"/>
      <c r="H842" s="15" t="n"/>
      <c r="I842" s="15" t="n"/>
      <c r="J842" s="15" t="n"/>
      <c r="K842" s="15" t="n"/>
      <c r="L842" s="15" t="n"/>
      <c r="M842" s="15" t="n"/>
      <c r="N842" s="15" t="n"/>
    </row>
    <row r="843" ht="6" customHeight="1"/>
    <row r="844">
      <c r="A844" s="35" t="inlineStr">
        <is>
          <t>COBRANZA VENCIDA</t>
        </is>
      </c>
      <c r="B844" s="28" t="n"/>
      <c r="C844" s="28" t="n"/>
      <c r="D844" s="28" t="n"/>
      <c r="E844" s="28" t="n"/>
      <c r="F844" s="28" t="n"/>
      <c r="G844" s="28" t="n"/>
      <c r="H844" s="28" t="n"/>
      <c r="I844" s="28" t="n"/>
      <c r="J844" s="28" t="n"/>
      <c r="K844" s="28" t="n"/>
      <c r="L844" s="28" t="n"/>
      <c r="M844" s="28" t="n"/>
      <c r="N844" s="28" t="n"/>
    </row>
    <row r="845" ht="20" customHeight="1">
      <c r="A845" s="8" t="inlineStr">
        <is>
          <t>Total</t>
        </is>
      </c>
      <c r="B845" s="11" t="n"/>
    </row>
    <row r="846" ht="18" customHeight="1">
      <c r="A846" s="12" t="inlineStr">
        <is>
          <t>Top 5</t>
        </is>
      </c>
      <c r="C846" s="13" t="n"/>
      <c r="D846" s="13" t="n"/>
      <c r="E846" s="13" t="n"/>
      <c r="F846" s="13" t="n"/>
      <c r="G846" s="13" t="n"/>
      <c r="H846" s="13" t="n"/>
      <c r="I846" s="13" t="n"/>
      <c r="J846" s="13" t="n"/>
      <c r="K846" s="13" t="n"/>
      <c r="L846" s="13" t="n"/>
      <c r="M846" s="13" t="n"/>
      <c r="N846" s="13" t="n"/>
    </row>
    <row r="847" ht="18" customHeight="1">
      <c r="A847" s="14" t="inlineStr">
        <is>
          <t>1er lugar</t>
        </is>
      </c>
      <c r="B847" s="15" t="n"/>
      <c r="C847" s="15" t="n"/>
      <c r="D847" s="15" t="n"/>
      <c r="E847" s="15" t="n"/>
      <c r="F847" s="15" t="n"/>
      <c r="G847" s="15" t="n"/>
      <c r="H847" s="15" t="n"/>
      <c r="I847" s="15" t="n"/>
      <c r="J847" s="15" t="n"/>
      <c r="K847" s="15" t="n"/>
      <c r="L847" s="15" t="n"/>
      <c r="M847" s="15" t="n"/>
      <c r="N847" s="15" t="n"/>
    </row>
    <row r="848" ht="18" customHeight="1">
      <c r="A848" s="14" t="inlineStr">
        <is>
          <t>2o lugar</t>
        </is>
      </c>
      <c r="B848" s="15" t="n"/>
      <c r="C848" s="15" t="n"/>
      <c r="D848" s="15" t="n"/>
      <c r="E848" s="15" t="n"/>
      <c r="F848" s="15" t="n"/>
      <c r="G848" s="15" t="n"/>
      <c r="H848" s="15" t="n"/>
      <c r="I848" s="15" t="n"/>
      <c r="J848" s="15" t="n"/>
      <c r="K848" s="15" t="n"/>
      <c r="L848" s="15" t="n"/>
      <c r="M848" s="15" t="n"/>
      <c r="N848" s="15" t="n"/>
    </row>
    <row r="849" ht="18" customHeight="1">
      <c r="A849" s="14" t="inlineStr">
        <is>
          <t>3er lugar</t>
        </is>
      </c>
      <c r="B849" s="15" t="n"/>
      <c r="C849" s="15" t="n"/>
      <c r="D849" s="15" t="n"/>
      <c r="E849" s="15" t="n"/>
      <c r="F849" s="15" t="n"/>
      <c r="G849" s="15" t="n"/>
      <c r="H849" s="15" t="n"/>
      <c r="I849" s="15" t="n"/>
      <c r="J849" s="15" t="n"/>
      <c r="K849" s="15" t="n"/>
      <c r="L849" s="15" t="n"/>
      <c r="M849" s="15" t="n"/>
      <c r="N849" s="15" t="n"/>
    </row>
    <row r="850" ht="18" customHeight="1">
      <c r="A850" s="14" t="inlineStr">
        <is>
          <t>4o lugar</t>
        </is>
      </c>
      <c r="B850" s="15" t="n"/>
      <c r="C850" s="15" t="n"/>
      <c r="D850" s="15" t="n"/>
      <c r="E850" s="15" t="n"/>
      <c r="F850" s="15" t="n"/>
      <c r="G850" s="15" t="n"/>
      <c r="H850" s="15" t="n"/>
      <c r="I850" s="15" t="n"/>
      <c r="J850" s="15" t="n"/>
      <c r="K850" s="15" t="n"/>
      <c r="L850" s="15" t="n"/>
      <c r="M850" s="15" t="n"/>
      <c r="N850" s="15" t="n"/>
    </row>
    <row r="851" ht="18" customHeight="1">
      <c r="A851" s="14" t="inlineStr">
        <is>
          <t>5o lugar</t>
        </is>
      </c>
      <c r="B851" s="15" t="n"/>
      <c r="C851" s="15" t="n"/>
      <c r="D851" s="15" t="n"/>
      <c r="E851" s="15" t="n"/>
      <c r="F851" s="15" t="n"/>
      <c r="G851" s="15" t="n"/>
      <c r="H851" s="15" t="n"/>
      <c r="I851" s="15" t="n"/>
      <c r="J851" s="15" t="n"/>
      <c r="K851" s="15" t="n"/>
      <c r="L851" s="15" t="n"/>
      <c r="M851" s="15" t="n"/>
      <c r="N851" s="15" t="n"/>
    </row>
    <row r="852" ht="6" customHeight="1"/>
    <row r="853">
      <c r="A853" s="35" t="inlineStr">
        <is>
          <t>COBRANZA EFECTIVA</t>
        </is>
      </c>
      <c r="B853" s="28" t="n"/>
      <c r="C853" s="28" t="n"/>
      <c r="D853" s="28" t="n"/>
      <c r="E853" s="28" t="n"/>
      <c r="F853" s="28" t="n"/>
      <c r="G853" s="28" t="n"/>
      <c r="H853" s="28" t="n"/>
      <c r="I853" s="28" t="n"/>
      <c r="J853" s="28" t="n"/>
      <c r="K853" s="28" t="n"/>
      <c r="L853" s="28" t="n"/>
      <c r="M853" s="28" t="n"/>
      <c r="N853" s="28" t="n"/>
    </row>
    <row r="854" ht="20" customHeight="1">
      <c r="A854" s="16" t="inlineStr">
        <is>
          <t>Total</t>
        </is>
      </c>
      <c r="B854" s="17" t="n"/>
    </row>
    <row r="855" ht="18" customHeight="1">
      <c r="A855" s="12" t="inlineStr">
        <is>
          <t>Top 5</t>
        </is>
      </c>
      <c r="C855" s="13" t="n"/>
      <c r="D855" s="13" t="n"/>
      <c r="E855" s="13" t="n"/>
      <c r="F855" s="13" t="n"/>
      <c r="G855" s="13" t="n"/>
      <c r="H855" s="13" t="n"/>
      <c r="I855" s="13" t="n"/>
      <c r="J855" s="13" t="n"/>
      <c r="K855" s="13" t="n"/>
      <c r="L855" s="13" t="n"/>
      <c r="M855" s="13" t="n"/>
      <c r="N855" s="13" t="n"/>
    </row>
    <row r="856" ht="18" customHeight="1">
      <c r="A856" s="14" t="inlineStr">
        <is>
          <t>1er lugar</t>
        </is>
      </c>
      <c r="B856" s="15" t="n"/>
      <c r="C856" s="15" t="n"/>
      <c r="D856" s="15" t="n"/>
      <c r="E856" s="15" t="n"/>
      <c r="F856" s="15" t="n"/>
      <c r="G856" s="15" t="n"/>
      <c r="H856" s="15" t="n"/>
      <c r="I856" s="15" t="n"/>
      <c r="J856" s="15" t="n"/>
      <c r="K856" s="15" t="n"/>
      <c r="L856" s="15" t="n"/>
      <c r="M856" s="15" t="n"/>
      <c r="N856" s="15" t="n"/>
    </row>
    <row r="857" ht="18" customHeight="1">
      <c r="A857" s="14" t="inlineStr">
        <is>
          <t>2o lugar</t>
        </is>
      </c>
      <c r="B857" s="15" t="n"/>
      <c r="C857" s="15" t="n"/>
      <c r="D857" s="15" t="n"/>
      <c r="E857" s="15" t="n"/>
      <c r="F857" s="15" t="n"/>
      <c r="G857" s="15" t="n"/>
      <c r="H857" s="15" t="n"/>
      <c r="I857" s="15" t="n"/>
      <c r="J857" s="15" t="n"/>
      <c r="K857" s="15" t="n"/>
      <c r="L857" s="15" t="n"/>
      <c r="M857" s="15" t="n"/>
      <c r="N857" s="15" t="n"/>
    </row>
    <row r="858" ht="18" customHeight="1">
      <c r="A858" s="14" t="inlineStr">
        <is>
          <t>3er lugar</t>
        </is>
      </c>
      <c r="B858" s="15" t="n"/>
      <c r="C858" s="15" t="n"/>
      <c r="D858" s="15" t="n"/>
      <c r="E858" s="15" t="n"/>
      <c r="F858" s="15" t="n"/>
      <c r="G858" s="15" t="n"/>
      <c r="H858" s="15" t="n"/>
      <c r="I858" s="15" t="n"/>
      <c r="J858" s="15" t="n"/>
      <c r="K858" s="15" t="n"/>
      <c r="L858" s="15" t="n"/>
      <c r="M858" s="15" t="n"/>
      <c r="N858" s="15" t="n"/>
    </row>
    <row r="859" ht="18" customHeight="1">
      <c r="A859" s="14" t="inlineStr">
        <is>
          <t>4o lugar</t>
        </is>
      </c>
      <c r="B859" s="15" t="n"/>
      <c r="C859" s="15" t="n"/>
      <c r="D859" s="15" t="n"/>
      <c r="E859" s="15" t="n"/>
      <c r="F859" s="15" t="n"/>
      <c r="G859" s="15" t="n"/>
      <c r="H859" s="15" t="n"/>
      <c r="I859" s="15" t="n"/>
      <c r="J859" s="15" t="n"/>
      <c r="K859" s="15" t="n"/>
      <c r="L859" s="15" t="n"/>
      <c r="M859" s="15" t="n"/>
      <c r="N859" s="15" t="n"/>
    </row>
    <row r="860" ht="18" customHeight="1">
      <c r="A860" s="14" t="inlineStr">
        <is>
          <t>5o lugar</t>
        </is>
      </c>
      <c r="B860" s="15" t="n"/>
      <c r="C860" s="15" t="n"/>
      <c r="D860" s="15" t="n"/>
      <c r="E860" s="15" t="n"/>
      <c r="F860" s="15" t="n"/>
      <c r="G860" s="15" t="n"/>
      <c r="H860" s="15" t="n"/>
      <c r="I860" s="15" t="n"/>
      <c r="J860" s="15" t="n"/>
      <c r="K860" s="15" t="n"/>
      <c r="L860" s="15" t="n"/>
      <c r="M860" s="15" t="n"/>
      <c r="N860" s="15" t="n"/>
    </row>
    <row r="861" ht="6" customHeight="1"/>
    <row r="862">
      <c r="A862" s="35" t="inlineStr">
        <is>
          <t>COBRANZA RECUPERADA</t>
        </is>
      </c>
      <c r="B862" s="28" t="n"/>
      <c r="C862" s="28" t="n"/>
      <c r="D862" s="28" t="n"/>
      <c r="E862" s="28" t="n"/>
      <c r="F862" s="28" t="n"/>
      <c r="G862" s="28" t="n"/>
      <c r="H862" s="28" t="n"/>
      <c r="I862" s="28" t="n"/>
      <c r="J862" s="28" t="n"/>
      <c r="K862" s="28" t="n"/>
      <c r="L862" s="28" t="n"/>
      <c r="M862" s="28" t="n"/>
      <c r="N862" s="28" t="n"/>
    </row>
    <row r="863" ht="20" customHeight="1">
      <c r="A863" s="8" t="inlineStr">
        <is>
          <t>Total</t>
        </is>
      </c>
      <c r="B863" s="11" t="n"/>
    </row>
    <row r="864" ht="18" customHeight="1">
      <c r="A864" s="12" t="inlineStr">
        <is>
          <t>Top 5</t>
        </is>
      </c>
      <c r="C864" s="13" t="n"/>
      <c r="D864" s="13" t="n"/>
      <c r="E864" s="13" t="n"/>
      <c r="F864" s="13" t="n"/>
      <c r="G864" s="13" t="n"/>
      <c r="H864" s="13" t="n"/>
      <c r="I864" s="13" t="n"/>
      <c r="J864" s="13" t="n"/>
      <c r="K864" s="13" t="n"/>
      <c r="L864" s="13" t="n"/>
      <c r="M864" s="13" t="n"/>
      <c r="N864" s="13" t="n"/>
    </row>
    <row r="865" ht="18" customHeight="1">
      <c r="A865" s="14" t="inlineStr">
        <is>
          <t>1er lugar</t>
        </is>
      </c>
      <c r="B865" s="15" t="n"/>
      <c r="C865" s="15" t="n"/>
      <c r="D865" s="15" t="n"/>
      <c r="E865" s="15" t="n"/>
      <c r="F865" s="15" t="n"/>
      <c r="G865" s="15" t="n"/>
      <c r="H865" s="15" t="n"/>
      <c r="I865" s="15" t="n"/>
      <c r="J865" s="15" t="n"/>
      <c r="K865" s="15" t="n"/>
      <c r="L865" s="15" t="n"/>
      <c r="M865" s="15" t="n"/>
      <c r="N865" s="15" t="n"/>
    </row>
    <row r="866" ht="18" customHeight="1">
      <c r="A866" s="14" t="inlineStr">
        <is>
          <t>2o lugar</t>
        </is>
      </c>
      <c r="B866" s="15" t="n"/>
      <c r="C866" s="15" t="n"/>
      <c r="D866" s="15" t="n"/>
      <c r="E866" s="15" t="n"/>
      <c r="F866" s="15" t="n"/>
      <c r="G866" s="15" t="n"/>
      <c r="H866" s="15" t="n"/>
      <c r="I866" s="15" t="n"/>
      <c r="J866" s="15" t="n"/>
      <c r="K866" s="15" t="n"/>
      <c r="L866" s="15" t="n"/>
      <c r="M866" s="15" t="n"/>
      <c r="N866" s="15" t="n"/>
    </row>
    <row r="867" ht="18" customHeight="1">
      <c r="A867" s="14" t="inlineStr">
        <is>
          <t>3er lugar</t>
        </is>
      </c>
      <c r="B867" s="15" t="n"/>
      <c r="C867" s="15" t="n"/>
      <c r="D867" s="15" t="n"/>
      <c r="E867" s="15" t="n"/>
      <c r="F867" s="15" t="n"/>
      <c r="G867" s="15" t="n"/>
      <c r="H867" s="15" t="n"/>
      <c r="I867" s="15" t="n"/>
      <c r="J867" s="15" t="n"/>
      <c r="K867" s="15" t="n"/>
      <c r="L867" s="15" t="n"/>
      <c r="M867" s="15" t="n"/>
      <c r="N867" s="15" t="n"/>
    </row>
    <row r="868" ht="18" customHeight="1">
      <c r="A868" s="14" t="inlineStr">
        <is>
          <t>4o lugar</t>
        </is>
      </c>
      <c r="B868" s="15" t="n"/>
      <c r="C868" s="15" t="n"/>
      <c r="D868" s="15" t="n"/>
      <c r="E868" s="15" t="n"/>
      <c r="F868" s="15" t="n"/>
      <c r="G868" s="15" t="n"/>
      <c r="H868" s="15" t="n"/>
      <c r="I868" s="15" t="n"/>
      <c r="J868" s="15" t="n"/>
      <c r="K868" s="15" t="n"/>
      <c r="L868" s="15" t="n"/>
      <c r="M868" s="15" t="n"/>
      <c r="N868" s="15" t="n"/>
    </row>
    <row r="869" ht="18" customHeight="1">
      <c r="A869" s="14" t="inlineStr">
        <is>
          <t>5o lugar</t>
        </is>
      </c>
      <c r="B869" s="15" t="n"/>
      <c r="C869" s="15" t="n"/>
      <c r="D869" s="15" t="n"/>
      <c r="E869" s="15" t="n"/>
      <c r="F869" s="15" t="n"/>
      <c r="G869" s="15" t="n"/>
      <c r="H869" s="15" t="n"/>
      <c r="I869" s="15" t="n"/>
      <c r="J869" s="15" t="n"/>
      <c r="K869" s="15" t="n"/>
      <c r="L869" s="15" t="n"/>
      <c r="M869" s="15" t="n"/>
      <c r="N869" s="15" t="n"/>
    </row>
    <row r="870" ht="6" customHeight="1"/>
    <row r="871">
      <c r="A871" s="35" t="inlineStr">
        <is>
          <t>COBRANZA TOTAL GENERAL</t>
        </is>
      </c>
      <c r="B871" s="28" t="n"/>
      <c r="C871" s="28" t="n"/>
      <c r="D871" s="28" t="n"/>
      <c r="E871" s="28" t="n"/>
      <c r="F871" s="28" t="n"/>
      <c r="G871" s="28" t="n"/>
      <c r="H871" s="28" t="n"/>
      <c r="I871" s="28" t="n"/>
      <c r="J871" s="28" t="n"/>
      <c r="K871" s="28" t="n"/>
      <c r="L871" s="28" t="n"/>
      <c r="M871" s="28" t="n"/>
      <c r="N871" s="28" t="n"/>
    </row>
    <row r="872" ht="20" customHeight="1">
      <c r="A872" s="16" t="inlineStr">
        <is>
          <t>Total</t>
        </is>
      </c>
      <c r="B872" s="17" t="n"/>
    </row>
    <row r="873" ht="18" customHeight="1">
      <c r="A873" s="12" t="inlineStr">
        <is>
          <t>Top 5</t>
        </is>
      </c>
      <c r="C873" s="13" t="n"/>
      <c r="D873" s="13" t="n"/>
      <c r="E873" s="13" t="n"/>
      <c r="F873" s="13" t="n"/>
      <c r="G873" s="13" t="n"/>
      <c r="H873" s="13" t="n"/>
      <c r="I873" s="13" t="n"/>
      <c r="J873" s="13" t="n"/>
      <c r="K873" s="13" t="n"/>
      <c r="L873" s="13" t="n"/>
      <c r="M873" s="13" t="n"/>
      <c r="N873" s="13" t="n"/>
    </row>
    <row r="874" ht="18" customHeight="1">
      <c r="A874" s="14" t="inlineStr">
        <is>
          <t>1er lugar</t>
        </is>
      </c>
      <c r="B874" s="15" t="n"/>
      <c r="C874" s="15" t="n"/>
      <c r="D874" s="15" t="n"/>
      <c r="E874" s="15" t="n"/>
      <c r="F874" s="15" t="n"/>
      <c r="G874" s="15" t="n"/>
      <c r="H874" s="15" t="n"/>
      <c r="I874" s="15" t="n"/>
      <c r="J874" s="15" t="n"/>
      <c r="K874" s="15" t="n"/>
      <c r="L874" s="15" t="n"/>
      <c r="M874" s="15" t="n"/>
      <c r="N874" s="15" t="n"/>
    </row>
    <row r="875" ht="18" customHeight="1">
      <c r="A875" s="14" t="inlineStr">
        <is>
          <t>2o lugar</t>
        </is>
      </c>
      <c r="B875" s="15" t="n"/>
      <c r="C875" s="15" t="n"/>
      <c r="D875" s="15" t="n"/>
      <c r="E875" s="15" t="n"/>
      <c r="F875" s="15" t="n"/>
      <c r="G875" s="15" t="n"/>
      <c r="H875" s="15" t="n"/>
      <c r="I875" s="15" t="n"/>
      <c r="J875" s="15" t="n"/>
      <c r="K875" s="15" t="n"/>
      <c r="L875" s="15" t="n"/>
      <c r="M875" s="15" t="n"/>
      <c r="N875" s="15" t="n"/>
    </row>
    <row r="876" ht="18" customHeight="1">
      <c r="A876" s="14" t="inlineStr">
        <is>
          <t>3er lugar</t>
        </is>
      </c>
      <c r="B876" s="15" t="n"/>
      <c r="C876" s="15" t="n"/>
      <c r="D876" s="15" t="n"/>
      <c r="E876" s="15" t="n"/>
      <c r="F876" s="15" t="n"/>
      <c r="G876" s="15" t="n"/>
      <c r="H876" s="15" t="n"/>
      <c r="I876" s="15" t="n"/>
      <c r="J876" s="15" t="n"/>
      <c r="K876" s="15" t="n"/>
      <c r="L876" s="15" t="n"/>
      <c r="M876" s="15" t="n"/>
      <c r="N876" s="15" t="n"/>
    </row>
    <row r="877" ht="18" customHeight="1">
      <c r="A877" s="14" t="inlineStr">
        <is>
          <t>4o lugar</t>
        </is>
      </c>
      <c r="B877" s="15" t="n"/>
      <c r="C877" s="15" t="n"/>
      <c r="D877" s="15" t="n"/>
      <c r="E877" s="15" t="n"/>
      <c r="F877" s="15" t="n"/>
      <c r="G877" s="15" t="n"/>
      <c r="H877" s="15" t="n"/>
      <c r="I877" s="15" t="n"/>
      <c r="J877" s="15" t="n"/>
      <c r="K877" s="15" t="n"/>
      <c r="L877" s="15" t="n"/>
      <c r="M877" s="15" t="n"/>
      <c r="N877" s="15" t="n"/>
    </row>
    <row r="878" ht="18" customHeight="1">
      <c r="A878" s="14" t="inlineStr">
        <is>
          <t>5o lugar</t>
        </is>
      </c>
      <c r="B878" s="15" t="n"/>
      <c r="C878" s="15" t="n"/>
      <c r="D878" s="15" t="n"/>
      <c r="E878" s="15" t="n"/>
      <c r="F878" s="15" t="n"/>
      <c r="G878" s="15" t="n"/>
      <c r="H878" s="15" t="n"/>
      <c r="I878" s="15" t="n"/>
      <c r="J878" s="15" t="n"/>
      <c r="K878" s="15" t="n"/>
      <c r="L878" s="15" t="n"/>
      <c r="M878" s="15" t="n"/>
      <c r="N878" s="15" t="n"/>
    </row>
    <row r="879" ht="6" customHeight="1"/>
    <row r="880">
      <c r="A880" s="35" t="inlineStr">
        <is>
          <t>COBRANZA ADELANTADA F.</t>
        </is>
      </c>
      <c r="B880" s="28" t="n"/>
      <c r="C880" s="28" t="n"/>
      <c r="D880" s="28" t="n"/>
      <c r="E880" s="28" t="n"/>
      <c r="F880" s="28" t="n"/>
      <c r="G880" s="28" t="n"/>
      <c r="H880" s="28" t="n"/>
      <c r="I880" s="28" t="n"/>
      <c r="J880" s="28" t="n"/>
      <c r="K880" s="28" t="n"/>
      <c r="L880" s="28" t="n"/>
      <c r="M880" s="28" t="n"/>
      <c r="N880" s="28" t="n"/>
    </row>
    <row r="881" ht="20" customHeight="1">
      <c r="A881" s="8" t="inlineStr">
        <is>
          <t>Total</t>
        </is>
      </c>
      <c r="B881" s="11" t="n"/>
    </row>
    <row r="882" ht="18" customHeight="1">
      <c r="A882" s="12" t="inlineStr">
        <is>
          <t>Top 5</t>
        </is>
      </c>
      <c r="C882" s="13" t="n"/>
      <c r="D882" s="13" t="n"/>
      <c r="E882" s="13" t="n"/>
      <c r="F882" s="13" t="n"/>
      <c r="G882" s="13" t="n"/>
      <c r="H882" s="13" t="n"/>
      <c r="I882" s="13" t="n"/>
      <c r="J882" s="13" t="n"/>
      <c r="K882" s="13" t="n"/>
      <c r="L882" s="13" t="n"/>
      <c r="M882" s="13" t="n"/>
      <c r="N882" s="13" t="n"/>
    </row>
    <row r="883" ht="18" customHeight="1">
      <c r="A883" s="14" t="inlineStr">
        <is>
          <t>1er lugar</t>
        </is>
      </c>
      <c r="B883" s="15" t="n"/>
      <c r="C883" s="15" t="n"/>
      <c r="D883" s="15" t="n"/>
      <c r="E883" s="15" t="n"/>
      <c r="F883" s="15" t="n"/>
      <c r="G883" s="15" t="n"/>
      <c r="H883" s="15" t="n"/>
      <c r="I883" s="15" t="n"/>
      <c r="J883" s="15" t="n"/>
      <c r="K883" s="15" t="n"/>
      <c r="L883" s="15" t="n"/>
      <c r="M883" s="15" t="n"/>
      <c r="N883" s="15" t="n"/>
    </row>
    <row r="884" ht="18" customHeight="1">
      <c r="A884" s="14" t="inlineStr">
        <is>
          <t>2o lugar</t>
        </is>
      </c>
      <c r="B884" s="15" t="n"/>
      <c r="C884" s="15" t="n"/>
      <c r="D884" s="15" t="n"/>
      <c r="E884" s="15" t="n"/>
      <c r="F884" s="15" t="n"/>
      <c r="G884" s="15" t="n"/>
      <c r="H884" s="15" t="n"/>
      <c r="I884" s="15" t="n"/>
      <c r="J884" s="15" t="n"/>
      <c r="K884" s="15" t="n"/>
      <c r="L884" s="15" t="n"/>
      <c r="M884" s="15" t="n"/>
      <c r="N884" s="15" t="n"/>
    </row>
    <row r="885" ht="18" customHeight="1">
      <c r="A885" s="14" t="inlineStr">
        <is>
          <t>3er lugar</t>
        </is>
      </c>
      <c r="B885" s="15" t="n"/>
      <c r="C885" s="15" t="n"/>
      <c r="D885" s="15" t="n"/>
      <c r="E885" s="15" t="n"/>
      <c r="F885" s="15" t="n"/>
      <c r="G885" s="15" t="n"/>
      <c r="H885" s="15" t="n"/>
      <c r="I885" s="15" t="n"/>
      <c r="J885" s="15" t="n"/>
      <c r="K885" s="15" t="n"/>
      <c r="L885" s="15" t="n"/>
      <c r="M885" s="15" t="n"/>
      <c r="N885" s="15" t="n"/>
    </row>
    <row r="886" ht="18" customHeight="1">
      <c r="A886" s="14" t="inlineStr">
        <is>
          <t>4o lugar</t>
        </is>
      </c>
      <c r="B886" s="15" t="n"/>
      <c r="C886" s="15" t="n"/>
      <c r="D886" s="15" t="n"/>
      <c r="E886" s="15" t="n"/>
      <c r="F886" s="15" t="n"/>
      <c r="G886" s="15" t="n"/>
      <c r="H886" s="15" t="n"/>
      <c r="I886" s="15" t="n"/>
      <c r="J886" s="15" t="n"/>
      <c r="K886" s="15" t="n"/>
      <c r="L886" s="15" t="n"/>
      <c r="M886" s="15" t="n"/>
      <c r="N886" s="15" t="n"/>
    </row>
    <row r="887" ht="18" customHeight="1">
      <c r="A887" s="14" t="inlineStr">
        <is>
          <t>5o lugar</t>
        </is>
      </c>
      <c r="B887" s="15" t="n"/>
      <c r="C887" s="15" t="n"/>
      <c r="D887" s="15" t="n"/>
      <c r="E887" s="15" t="n"/>
      <c r="F887" s="15" t="n"/>
      <c r="G887" s="15" t="n"/>
      <c r="H887" s="15" t="n"/>
      <c r="I887" s="15" t="n"/>
      <c r="J887" s="15" t="n"/>
      <c r="K887" s="15" t="n"/>
      <c r="L887" s="15" t="n"/>
      <c r="M887" s="15" t="n"/>
      <c r="N887" s="15" t="n"/>
    </row>
    <row r="888" ht="6" customHeight="1"/>
    <row r="889">
      <c r="A889" s="82" t="inlineStr">
        <is>
          <t>PROYECCIÓN DICIEMBRE → DICIEMBRE</t>
        </is>
      </c>
      <c r="B889" s="28" t="n"/>
      <c r="C889" s="28" t="n"/>
      <c r="D889" s="28" t="n"/>
      <c r="E889" s="28" t="n"/>
      <c r="F889" s="28" t="n"/>
      <c r="G889" s="28" t="n"/>
      <c r="H889" s="28" t="n"/>
      <c r="I889" s="28" t="n"/>
      <c r="J889" s="28" t="n"/>
      <c r="K889" s="28" t="n"/>
      <c r="L889" s="28" t="n"/>
      <c r="M889" s="28" t="n"/>
      <c r="N889" s="28" t="n"/>
    </row>
    <row r="890">
      <c r="A890" s="19" t="inlineStr">
        <is>
          <t>Proyección DICIEMBRE</t>
        </is>
      </c>
      <c r="B890" s="20" t="n"/>
    </row>
    <row r="892" ht="14" customHeight="1"/>
    <row r="895" ht="24" customHeight="1">
      <c r="A895" s="21" t="inlineStr">
        <is>
          <t>RESUMEN ANUAL 2026</t>
        </is>
      </c>
    </row>
    <row r="896" ht="26" customHeight="1">
      <c r="A896" s="22" t="inlineStr">
        <is>
          <t>CONCEPTO</t>
        </is>
      </c>
      <c r="B896" s="22" t="inlineStr">
        <is>
          <t>ENE</t>
        </is>
      </c>
      <c r="C896" s="22" t="inlineStr">
        <is>
          <t>FEB</t>
        </is>
      </c>
      <c r="D896" s="22" t="inlineStr">
        <is>
          <t>MAR</t>
        </is>
      </c>
      <c r="E896" s="22" t="inlineStr">
        <is>
          <t>ABR</t>
        </is>
      </c>
      <c r="F896" s="22" t="inlineStr">
        <is>
          <t>MAY</t>
        </is>
      </c>
      <c r="G896" s="22" t="inlineStr">
        <is>
          <t>JUN</t>
        </is>
      </c>
      <c r="H896" s="22" t="inlineStr">
        <is>
          <t>JUL</t>
        </is>
      </c>
      <c r="I896" s="22" t="inlineStr">
        <is>
          <t>AGO</t>
        </is>
      </c>
      <c r="J896" s="22" t="inlineStr">
        <is>
          <t>SEP</t>
        </is>
      </c>
      <c r="K896" s="22" t="inlineStr">
        <is>
          <t>OCT</t>
        </is>
      </c>
      <c r="L896" s="22" t="inlineStr">
        <is>
          <t>NOV</t>
        </is>
      </c>
      <c r="M896" s="22" t="inlineStr">
        <is>
          <t>DIC</t>
        </is>
      </c>
      <c r="N896" s="22" t="inlineStr">
        <is>
          <t>TOTAL</t>
        </is>
      </c>
      <c r="O896" s="22" t="inlineStr">
        <is>
          <t>% PART.</t>
        </is>
      </c>
    </row>
    <row r="897" ht="18" customHeight="1">
      <c r="A897" s="23" t="inlineStr">
        <is>
          <t>COBRANZA CORRIENTE</t>
        </is>
      </c>
      <c r="B897" s="24" t="n"/>
      <c r="C897" s="24" t="n"/>
      <c r="D897" s="24" t="n"/>
      <c r="E897" s="24" t="n"/>
      <c r="F897" s="24" t="n"/>
      <c r="G897" s="24" t="n"/>
      <c r="H897" s="24" t="n"/>
      <c r="I897" s="24" t="n"/>
      <c r="J897" s="24" t="n"/>
      <c r="K897" s="24" t="n"/>
      <c r="L897" s="24" t="n"/>
      <c r="M897" s="24" t="n"/>
      <c r="N897" s="24" t="n"/>
      <c r="O897" s="24" t="n"/>
    </row>
    <row r="898" ht="18" customHeight="1">
      <c r="A898" s="25" t="inlineStr">
        <is>
          <t>CANCELACIONES</t>
        </is>
      </c>
      <c r="B898" s="26" t="n"/>
      <c r="C898" s="26" t="n"/>
      <c r="D898" s="26" t="n"/>
      <c r="E898" s="26" t="n"/>
      <c r="F898" s="26" t="n"/>
      <c r="G898" s="26" t="n"/>
      <c r="H898" s="26" t="n"/>
      <c r="I898" s="26" t="n"/>
      <c r="J898" s="26" t="n"/>
      <c r="K898" s="26" t="n"/>
      <c r="L898" s="26" t="n"/>
      <c r="M898" s="26" t="n"/>
      <c r="N898" s="26" t="n"/>
      <c r="O898" s="26" t="n"/>
    </row>
    <row r="899" ht="18" customHeight="1">
      <c r="A899" s="23" t="inlineStr">
        <is>
          <t>COBRANZA VENCIDA</t>
        </is>
      </c>
      <c r="B899" s="24" t="n"/>
      <c r="C899" s="24" t="n"/>
      <c r="D899" s="24" t="n"/>
      <c r="E899" s="24" t="n"/>
      <c r="F899" s="24" t="n"/>
      <c r="G899" s="24" t="n"/>
      <c r="H899" s="24" t="n"/>
      <c r="I899" s="24" t="n"/>
      <c r="J899" s="24" t="n"/>
      <c r="K899" s="24" t="n"/>
      <c r="L899" s="24" t="n"/>
      <c r="M899" s="24" t="n"/>
      <c r="N899" s="24" t="n"/>
      <c r="O899" s="24" t="n"/>
    </row>
    <row r="900" ht="18" customHeight="1">
      <c r="A900" s="25" t="inlineStr">
        <is>
          <t>COBRANZA EFECTIVA</t>
        </is>
      </c>
      <c r="B900" s="26" t="n"/>
      <c r="C900" s="26" t="n"/>
      <c r="D900" s="26" t="n"/>
      <c r="E900" s="26" t="n"/>
      <c r="F900" s="26" t="n"/>
      <c r="G900" s="26" t="n"/>
      <c r="H900" s="26" t="n"/>
      <c r="I900" s="26" t="n"/>
      <c r="J900" s="26" t="n"/>
      <c r="K900" s="26" t="n"/>
      <c r="L900" s="26" t="n"/>
      <c r="M900" s="26" t="n"/>
      <c r="N900" s="26" t="n"/>
      <c r="O900" s="26" t="n"/>
    </row>
    <row r="901" ht="18" customHeight="1">
      <c r="A901" s="23" t="inlineStr">
        <is>
          <t>COBRANZA RECUPERADA</t>
        </is>
      </c>
      <c r="B901" s="24" t="n"/>
      <c r="C901" s="24" t="n"/>
      <c r="D901" s="24" t="n"/>
      <c r="E901" s="24" t="n"/>
      <c r="F901" s="24" t="n"/>
      <c r="G901" s="24" t="n"/>
      <c r="H901" s="24" t="n"/>
      <c r="I901" s="24" t="n"/>
      <c r="J901" s="24" t="n"/>
      <c r="K901" s="24" t="n"/>
      <c r="L901" s="24" t="n"/>
      <c r="M901" s="24" t="n"/>
      <c r="N901" s="24" t="n"/>
      <c r="O901" s="24" t="n"/>
    </row>
    <row r="902" ht="18" customHeight="1">
      <c r="A902" s="25" t="inlineStr">
        <is>
          <t>COBRANZA TOTAL GENERAL</t>
        </is>
      </c>
      <c r="B902" s="26" t="n"/>
      <c r="C902" s="26" t="n"/>
      <c r="D902" s="26" t="n"/>
      <c r="E902" s="26" t="n"/>
      <c r="F902" s="26" t="n"/>
      <c r="G902" s="26" t="n"/>
      <c r="H902" s="26" t="n"/>
      <c r="I902" s="26" t="n"/>
      <c r="J902" s="26" t="n"/>
      <c r="K902" s="26" t="n"/>
      <c r="L902" s="26" t="n"/>
      <c r="M902" s="26" t="n"/>
      <c r="N902" s="26" t="n"/>
      <c r="O902" s="26" t="n"/>
    </row>
    <row r="903" ht="18" customHeight="1">
      <c r="A903" s="23" t="inlineStr">
        <is>
          <t>COBRANZA ADELANTADA F.</t>
        </is>
      </c>
      <c r="B903" s="24" t="n"/>
      <c r="C903" s="24" t="n"/>
      <c r="D903" s="24" t="n"/>
      <c r="E903" s="24" t="n"/>
      <c r="F903" s="24" t="n"/>
      <c r="G903" s="24" t="n"/>
      <c r="H903" s="24" t="n"/>
      <c r="I903" s="24" t="n"/>
      <c r="J903" s="24" t="n"/>
      <c r="K903" s="24" t="n"/>
      <c r="L903" s="24" t="n"/>
      <c r="M903" s="24" t="n"/>
      <c r="N903" s="24" t="n"/>
      <c r="O903" s="24" t="n"/>
    </row>
    <row r="904" ht="18" customHeight="1">
      <c r="A904" s="25" t="inlineStr">
        <is>
          <t>PROYECCIÓN</t>
        </is>
      </c>
      <c r="B904" s="26" t="n"/>
      <c r="C904" s="26" t="n"/>
      <c r="D904" s="26" t="n"/>
      <c r="E904" s="26" t="n"/>
      <c r="F904" s="26" t="n"/>
      <c r="G904" s="26" t="n"/>
      <c r="H904" s="26" t="n"/>
      <c r="I904" s="26" t="n"/>
      <c r="J904" s="26" t="n"/>
      <c r="K904" s="26" t="n"/>
      <c r="L904" s="26" t="n"/>
      <c r="M904" s="26" t="n"/>
      <c r="N904" s="26" t="n"/>
      <c r="O904" s="26" t="n"/>
    </row>
    <row r="907" ht="20" customHeight="1">
      <c r="A907" s="27" t="inlineStr">
        <is>
          <t>NOTAS Y LEYENDA</t>
        </is>
      </c>
    </row>
    <row r="908" ht="16" customHeight="1">
      <c r="A908" s="14" t="inlineStr">
        <is>
          <t>• Los totales de cada apartado se calculan sin filtrar por STATUS (suma completa del bloque).</t>
        </is>
      </c>
    </row>
    <row r="909" ht="16" customHeight="1">
      <c r="A909" s="14" t="inlineStr">
        <is>
          <t>• Top 5 por VENDEDOR: Cobranza Corriente, Cancelaciones.</t>
        </is>
      </c>
    </row>
    <row r="910" ht="16" customHeight="1">
      <c r="A910" s="14" t="inlineStr">
        <is>
          <t>• Top 5 por UBICACIÓN: Cobranza Vencida.</t>
        </is>
      </c>
    </row>
    <row r="911" ht="16" customHeight="1">
      <c r="A911" s="14" t="inlineStr">
        <is>
          <t>• Top 5 por COBRADO: Cobranza Efectiva, Recuperada, Adelantada F., Total General.</t>
        </is>
      </c>
    </row>
    <row r="912" ht="16" customHeight="1">
      <c r="A912" s="14" t="inlineStr">
        <is>
          <t>• Los montos de TRANSFERENCIAS / DEPÓSITOS se muestran consolidados como 'TRANSFER. / DEPTOS.' en Top 5.</t>
        </is>
      </c>
    </row>
    <row r="913" ht="16" customHeight="1">
      <c r="A913" s="14" t="inlineStr">
        <is>
          <t>• Proyección = estimación de cobranza para el mes siguiente basada en tendencia.</t>
        </is>
      </c>
    </row>
    <row r="914" ht="16" customHeight="1">
      <c r="A914" s="14" t="inlineStr">
        <is>
          <t>• Colores: Encabezados azul oscuro (#1F3C6E) | Acentos dorado (#C9A84C) | Filas alternadas.</t>
        </is>
      </c>
    </row>
  </sheetData>
  <mergeCells count="258">
    <mergeCell ref="A362:N362"/>
    <mergeCell ref="A913:N913"/>
    <mergeCell ref="B231:D231"/>
    <mergeCell ref="A39:N39"/>
    <mergeCell ref="A279:N279"/>
    <mergeCell ref="A48:N48"/>
    <mergeCell ref="A30:N30"/>
    <mergeCell ref="A819:N819"/>
    <mergeCell ref="A530:N530"/>
    <mergeCell ref="B157:D157"/>
    <mergeCell ref="A476:B476"/>
    <mergeCell ref="A539:N539"/>
    <mergeCell ref="A88:B88"/>
    <mergeCell ref="A162:B162"/>
    <mergeCell ref="A169:N169"/>
    <mergeCell ref="A346:B346"/>
    <mergeCell ref="A523:N523"/>
    <mergeCell ref="A355:B355"/>
    <mergeCell ref="A79:N79"/>
    <mergeCell ref="A821:N821"/>
    <mergeCell ref="A908:N908"/>
    <mergeCell ref="B230:D230"/>
    <mergeCell ref="A606:B606"/>
    <mergeCell ref="B890:F890"/>
    <mergeCell ref="A41:B41"/>
    <mergeCell ref="A153:N153"/>
    <mergeCell ref="A678:N678"/>
    <mergeCell ref="B84:D84"/>
    <mergeCell ref="A624:B624"/>
    <mergeCell ref="A687:N687"/>
    <mergeCell ref="A227:N227"/>
    <mergeCell ref="A871:N871"/>
    <mergeCell ref="B158:D158"/>
    <mergeCell ref="B594:F594"/>
    <mergeCell ref="A557:N557"/>
    <mergeCell ref="A236:B236"/>
    <mergeCell ref="A438:B438"/>
    <mergeCell ref="A503:B503"/>
    <mergeCell ref="A566:N566"/>
    <mergeCell ref="A512:B512"/>
    <mergeCell ref="A754:B754"/>
    <mergeCell ref="A577:B577"/>
    <mergeCell ref="B378:D378"/>
    <mergeCell ref="B527:D527"/>
    <mergeCell ref="B305:D305"/>
    <mergeCell ref="A828:B828"/>
    <mergeCell ref="B306:D306"/>
    <mergeCell ref="A716:B716"/>
    <mergeCell ref="B668:F668"/>
    <mergeCell ref="A725:B725"/>
    <mergeCell ref="A790:B790"/>
    <mergeCell ref="A234:N234"/>
    <mergeCell ref="A411:B411"/>
    <mergeCell ref="A131:N131"/>
    <mergeCell ref="A68:B68"/>
    <mergeCell ref="A371:N371"/>
    <mergeCell ref="A613:N613"/>
    <mergeCell ref="A696:N696"/>
    <mergeCell ref="A911:N911"/>
    <mergeCell ref="A889:N889"/>
    <mergeCell ref="B816:F816"/>
    <mergeCell ref="A705:N705"/>
    <mergeCell ref="A770:N770"/>
    <mergeCell ref="A155:N155"/>
    <mergeCell ref="A245:B245"/>
    <mergeCell ref="A308:N308"/>
    <mergeCell ref="A510:N510"/>
    <mergeCell ref="A391:N391"/>
    <mergeCell ref="A337:B337"/>
    <mergeCell ref="A229:N229"/>
    <mergeCell ref="A319:B319"/>
    <mergeCell ref="A344:N344"/>
    <mergeCell ref="A584:N584"/>
    <mergeCell ref="A400:N400"/>
    <mergeCell ref="A59:B59"/>
    <mergeCell ref="B224:F224"/>
    <mergeCell ref="A261:N261"/>
    <mergeCell ref="A142:B142"/>
    <mergeCell ref="A747:N747"/>
    <mergeCell ref="A270:N270"/>
    <mergeCell ref="A599:N599"/>
    <mergeCell ref="A912:N912"/>
    <mergeCell ref="A216:B216"/>
    <mergeCell ref="A458:B458"/>
    <mergeCell ref="A281:B281"/>
    <mergeCell ref="B82:D82"/>
    <mergeCell ref="A467:B467"/>
    <mergeCell ref="A797:N797"/>
    <mergeCell ref="A844:N844"/>
    <mergeCell ref="A532:B532"/>
    <mergeCell ref="A1:N1"/>
    <mergeCell ref="A741:N741"/>
    <mergeCell ref="B379:D379"/>
    <mergeCell ref="A548:N548"/>
    <mergeCell ref="A429:B429"/>
    <mergeCell ref="A427:N427"/>
    <mergeCell ref="B304:D304"/>
    <mergeCell ref="A205:N205"/>
    <mergeCell ref="A364:B364"/>
    <mergeCell ref="B602:D602"/>
    <mergeCell ref="A855:B855"/>
    <mergeCell ref="B83:D83"/>
    <mergeCell ref="A808:B808"/>
    <mergeCell ref="A864:B864"/>
    <mergeCell ref="A75:N75"/>
    <mergeCell ref="A910:N910"/>
    <mergeCell ref="A317:N317"/>
    <mergeCell ref="A326:N326"/>
    <mergeCell ref="A667:N667"/>
    <mergeCell ref="A272:B272"/>
    <mergeCell ref="A409:N409"/>
    <mergeCell ref="A3:N3"/>
    <mergeCell ref="A418:N418"/>
    <mergeCell ref="B446:F446"/>
    <mergeCell ref="A301:N301"/>
    <mergeCell ref="A586:B586"/>
    <mergeCell ref="A640:N640"/>
    <mergeCell ref="A745:N745"/>
    <mergeCell ref="B520:F520"/>
    <mergeCell ref="A21:N21"/>
    <mergeCell ref="A104:N104"/>
    <mergeCell ref="A297:N297"/>
    <mergeCell ref="A57:N57"/>
    <mergeCell ref="A113:N113"/>
    <mergeCell ref="A5:N5"/>
    <mergeCell ref="A604:N604"/>
    <mergeCell ref="A631:N631"/>
    <mergeCell ref="A303:N303"/>
    <mergeCell ref="B232:D232"/>
    <mergeCell ref="B372:F372"/>
    <mergeCell ref="A483:N483"/>
    <mergeCell ref="A660:B660"/>
    <mergeCell ref="A171:B171"/>
    <mergeCell ref="A180:B180"/>
    <mergeCell ref="A494:B494"/>
    <mergeCell ref="A597:N597"/>
    <mergeCell ref="B675:D675"/>
    <mergeCell ref="A436:N436"/>
    <mergeCell ref="A451:N451"/>
    <mergeCell ref="A115:B115"/>
    <mergeCell ref="B749:D749"/>
    <mergeCell ref="B76:F76"/>
    <mergeCell ref="A445:N445"/>
    <mergeCell ref="A633:B633"/>
    <mergeCell ref="A525:N525"/>
    <mergeCell ref="A761:N761"/>
    <mergeCell ref="A873:B873"/>
    <mergeCell ref="A642:B642"/>
    <mergeCell ref="B748:D748"/>
    <mergeCell ref="A382:N382"/>
    <mergeCell ref="A559:B559"/>
    <mergeCell ref="A328:B328"/>
    <mergeCell ref="A310:B310"/>
    <mergeCell ref="A568:B568"/>
    <mergeCell ref="A402:B402"/>
    <mergeCell ref="A732:N732"/>
    <mergeCell ref="B150:F150"/>
    <mergeCell ref="B452:D452"/>
    <mergeCell ref="A207:B207"/>
    <mergeCell ref="B750:D750"/>
    <mergeCell ref="A835:N835"/>
    <mergeCell ref="A781:B781"/>
    <mergeCell ref="B823:D823"/>
    <mergeCell ref="A492:N492"/>
    <mergeCell ref="A846:B846"/>
    <mergeCell ref="A909:N909"/>
    <mergeCell ref="A658:N658"/>
    <mergeCell ref="A187:N187"/>
    <mergeCell ref="A252:N252"/>
    <mergeCell ref="A133:B133"/>
    <mergeCell ref="A196:N196"/>
    <mergeCell ref="A914:N914"/>
    <mergeCell ref="A66:N66"/>
    <mergeCell ref="A149:N149"/>
    <mergeCell ref="A223:N223"/>
    <mergeCell ref="A465:N465"/>
    <mergeCell ref="A474:N474"/>
    <mergeCell ref="A2:N2"/>
    <mergeCell ref="A86:N86"/>
    <mergeCell ref="A32:B32"/>
    <mergeCell ref="A95:N95"/>
    <mergeCell ref="A449:N449"/>
    <mergeCell ref="A23:B23"/>
    <mergeCell ref="A160:N160"/>
    <mergeCell ref="A290:B290"/>
    <mergeCell ref="A106:B106"/>
    <mergeCell ref="B380:D380"/>
    <mergeCell ref="B156:D156"/>
    <mergeCell ref="A377:N377"/>
    <mergeCell ref="B454:D454"/>
    <mergeCell ref="A122:N122"/>
    <mergeCell ref="A880:N880"/>
    <mergeCell ref="A862:N862"/>
    <mergeCell ref="A815:N815"/>
    <mergeCell ref="A671:N671"/>
    <mergeCell ref="A81:N81"/>
    <mergeCell ref="B674:D674"/>
    <mergeCell ref="A907:N907"/>
    <mergeCell ref="B676:D676"/>
    <mergeCell ref="A680:B680"/>
    <mergeCell ref="A288:N288"/>
    <mergeCell ref="A673:N673"/>
    <mergeCell ref="B822:D822"/>
    <mergeCell ref="A615:B615"/>
    <mergeCell ref="A707:B707"/>
    <mergeCell ref="B601:D601"/>
    <mergeCell ref="A178:N178"/>
    <mergeCell ref="B824:D824"/>
    <mergeCell ref="A124:B124"/>
    <mergeCell ref="A837:B837"/>
    <mergeCell ref="A806:N806"/>
    <mergeCell ref="A485:B485"/>
    <mergeCell ref="A649:N649"/>
    <mergeCell ref="A501:N501"/>
    <mergeCell ref="A243:N243"/>
    <mergeCell ref="A189:B189"/>
    <mergeCell ref="A335:N335"/>
    <mergeCell ref="A519:N519"/>
    <mergeCell ref="A575:N575"/>
    <mergeCell ref="A198:B198"/>
    <mergeCell ref="A375:N375"/>
    <mergeCell ref="A689:B689"/>
    <mergeCell ref="A50:B50"/>
    <mergeCell ref="A698:B698"/>
    <mergeCell ref="A752:N752"/>
    <mergeCell ref="A763:B763"/>
    <mergeCell ref="B453:D453"/>
    <mergeCell ref="A772:B772"/>
    <mergeCell ref="A826:N826"/>
    <mergeCell ref="A214:N214"/>
    <mergeCell ref="A384:B384"/>
    <mergeCell ref="A456:N456"/>
    <mergeCell ref="A714:N714"/>
    <mergeCell ref="A393:B393"/>
    <mergeCell ref="A723:N723"/>
    <mergeCell ref="A779:N779"/>
    <mergeCell ref="A254:B254"/>
    <mergeCell ref="B526:D526"/>
    <mergeCell ref="A651:B651"/>
    <mergeCell ref="A734:B734"/>
    <mergeCell ref="A263:B263"/>
    <mergeCell ref="B600:D600"/>
    <mergeCell ref="A788:N788"/>
    <mergeCell ref="B298:F298"/>
    <mergeCell ref="A97:B97"/>
    <mergeCell ref="A420:B420"/>
    <mergeCell ref="A895:N895"/>
    <mergeCell ref="A140:N140"/>
    <mergeCell ref="B528:D528"/>
    <mergeCell ref="A622:N622"/>
    <mergeCell ref="A853:N853"/>
    <mergeCell ref="B742:F742"/>
    <mergeCell ref="A799:B799"/>
    <mergeCell ref="A541:B541"/>
    <mergeCell ref="A882:B882"/>
    <mergeCell ref="A550:B550"/>
    <mergeCell ref="A593:N593"/>
    <mergeCell ref="A353:N353"/>
  </mergeCells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2026-05-21T14:51:41Z</dcterms:created>
  <dcterms:modified xmlns:dcterms="http://purl.org/dc/terms/" xmlns:xsi="http://www.w3.org/2001/XMLSchema-instance" xsi:type="dcterms:W3CDTF">2026-05-22T17:43:13Z</dcterms:modified>
</cp:coreProperties>
</file>