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ÍA KPIs" sheetId="2" state="visible" r:id="rId2"/>
    <sheet xmlns:r="http://schemas.openxmlformats.org/officeDocument/2006/relationships" name="ESTADISTICA 2026" sheetId="3" state="visible" r:id="rId3"/>
  </sheets>
  <definedNames>
    <definedName name="_xlnm.Print_Titles" localSheetId="2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$#,##0.00"/>
    <numFmt numFmtId="167" formatCode="$#,##0"/>
  </numFmts>
  <fonts count="69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  <font>
      <b val="1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375623"/>
      <sz val="11"/>
    </font>
    <font>
      <name val="Calibri"/>
      <i val="1"/>
      <color rgb="00375623"/>
      <sz val="9"/>
    </font>
    <font>
      <name val="Calibri"/>
      <b val="1"/>
      <color rgb="00C00000"/>
      <sz val="11"/>
    </font>
    <font>
      <name val="Calibri"/>
      <i val="1"/>
      <color rgb="00C00000"/>
      <sz val="9"/>
    </font>
    <font>
      <name val="Calibri"/>
      <b val="1"/>
      <color rgb="00FF8C00"/>
      <sz val="11"/>
    </font>
    <font>
      <name val="Calibri"/>
      <i val="1"/>
      <color rgb="00FF8C00"/>
      <sz val="9"/>
    </font>
    <font>
      <name val="Calibri"/>
      <b val="1"/>
      <color rgb="00F2F2F2"/>
      <sz val="11"/>
    </font>
    <font>
      <name val="Calibri"/>
      <i val="1"/>
      <color rgb="00F2F2F2"/>
      <sz val="9"/>
    </font>
    <font>
      <name val="Calibri"/>
      <i val="1"/>
      <color rgb="00FFFFFF"/>
      <sz val="9"/>
    </font>
    <font>
      <name val="Calibri"/>
      <color rgb="00000000"/>
      <sz val="10"/>
    </font>
    <font>
      <name val="Calibri"/>
      <b val="1"/>
      <color rgb="00C9A227"/>
      <sz val="20"/>
    </font>
    <font>
      <name val="Calibri"/>
      <b val="1"/>
      <color rgb="00FFFFFF"/>
      <sz val="13"/>
    </font>
    <font>
      <name val="Calibri"/>
      <b val="1"/>
      <color rgb="00FFD966"/>
      <sz val="11"/>
    </font>
    <font>
      <name val="Calibri"/>
      <b val="1"/>
      <color rgb="00000000"/>
      <sz val="15"/>
    </font>
    <font>
      <name val="Calibri"/>
      <i val="1"/>
      <color rgb="00808080"/>
      <sz val="8"/>
    </font>
    <font>
      <name val="Calibri"/>
      <b val="1"/>
      <color rgb="00C00000"/>
      <sz val="15"/>
    </font>
    <font>
      <name val="Calibri"/>
      <b val="1"/>
      <color rgb="00FF8C00"/>
      <sz val="15"/>
    </font>
    <font>
      <name val="Calibri"/>
      <b val="1"/>
      <color rgb="00375623"/>
      <sz val="15"/>
    </font>
    <font>
      <name val="Calibri"/>
      <b val="1"/>
      <color rgb="002E5FA3"/>
      <sz val="15"/>
    </font>
    <font>
      <name val="Calibri"/>
      <b val="1"/>
      <color rgb="00808080"/>
      <sz val="15"/>
    </font>
    <font>
      <name val="Calibri"/>
      <b val="1"/>
      <sz val="10"/>
    </font>
    <font>
      <name val="Calibri"/>
      <b val="1"/>
      <color rgb="00375623"/>
      <sz val="12"/>
    </font>
    <font>
      <name val="Calibri"/>
      <b val="1"/>
      <color rgb="00C00000"/>
      <sz val="12"/>
    </font>
    <font>
      <name val="Calibri"/>
      <b val="1"/>
      <color rgb="00FF8C00"/>
      <sz val="12"/>
    </font>
    <font>
      <name val="Calibri"/>
      <b val="1"/>
      <color rgb="00808080"/>
      <sz val="12"/>
    </font>
    <font>
      <name val="Calibri"/>
      <i val="1"/>
      <color rgb="00808080"/>
      <sz val="9"/>
    </font>
    <font>
      <name val="Calibri"/>
      <i val="1"/>
      <color rgb="00FFD966"/>
      <sz val="9"/>
    </font>
    <font>
      <name val="Calibri"/>
      <b val="1"/>
      <color rgb="00FFFFFF"/>
      <sz val="8"/>
    </font>
    <font>
      <name val="Calibri"/>
      <b val="1"/>
      <sz val="9"/>
    </font>
    <font>
      <name val="Calibri"/>
      <b val="1"/>
      <color rgb="001F3864"/>
      <sz val="9"/>
    </font>
    <font>
      <name val="Calibri"/>
      <sz val="9"/>
    </font>
    <font>
      <name val="Calibri"/>
      <sz val="10"/>
    </font>
    <font>
      <name val="Calibri"/>
      <color rgb="00FFD966"/>
      <sz val="8"/>
    </font>
    <font>
      <name val="Calibri"/>
      <i val="1"/>
      <color rgb="001F3864"/>
      <sz val="9"/>
    </font>
    <font>
      <name val="Calibri"/>
      <b val="1"/>
      <color rgb="002E5FA3"/>
      <sz val="12"/>
    </font>
    <font>
      <name val="Calibri"/>
      <i val="1"/>
      <color rgb="002E5FA3"/>
      <sz val="9"/>
    </font>
    <font>
      <name val="Calibri"/>
      <b val="1"/>
      <color rgb="00C9A227"/>
      <sz val="18"/>
    </font>
    <font>
      <name val="Calibri"/>
      <i val="1"/>
      <color rgb="00808080"/>
      <sz val="10"/>
    </font>
    <font>
      <name val="Calibri"/>
      <b val="1"/>
      <color rgb="001F3864"/>
      <sz val="10"/>
    </font>
    <font>
      <name val="Calibri"/>
      <color rgb="00000000"/>
      <sz val="9"/>
    </font>
    <font>
      <name val="Calibri"/>
      <color rgb="00808080"/>
      <sz val="8"/>
    </font>
    <font>
      <name val="Calibri"/>
      <b val="1"/>
      <color rgb="00000000"/>
      <sz val="14"/>
    </font>
    <font>
      <name val="Calibri"/>
      <b val="1"/>
      <color rgb="002E5FA3"/>
      <sz val="14"/>
    </font>
    <font>
      <name val="Calibri"/>
      <b val="1"/>
      <color rgb="00375623"/>
      <sz val="14"/>
    </font>
    <font>
      <name val="Calibri"/>
      <b val="1"/>
      <color rgb="00C00000"/>
      <sz val="14"/>
    </font>
    <font>
      <name val="Calibri"/>
      <b val="1"/>
      <color rgb="00FF8C00"/>
      <sz val="14"/>
    </font>
    <font>
      <name val="Calibri"/>
      <b val="1"/>
      <color rgb="00808080"/>
      <sz val="14"/>
    </font>
  </fonts>
  <fills count="22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2F0D9"/>
      </patternFill>
    </fill>
    <fill>
      <patternFill patternType="solid">
        <fgColor rgb="00FFE0E0"/>
      </patternFill>
    </fill>
    <fill>
      <patternFill patternType="solid">
        <fgColor rgb="00FFF0D0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375623"/>
      </patternFill>
    </fill>
    <fill>
      <patternFill patternType="solid">
        <fgColor rgb="00DAE8F7"/>
      </patternFill>
    </fill>
    <fill>
      <patternFill patternType="solid">
        <fgColor rgb="00808080"/>
      </patternFill>
    </fill>
    <fill>
      <patternFill patternType="solid">
        <fgColor rgb="00C9A227"/>
      </patternFill>
    </fill>
  </fills>
  <borders count="58">
    <border>
      <left/>
      <right/>
      <top/>
      <bottom/>
      <diagonal/>
    </border>
    <border>
      <bottom style="medium">
        <color rgb="00C9A84C"/>
      </bottom>
    </border>
    <border>
      <left/>
      <right/>
      <top/>
      <bottom style="medium">
        <color rgb="00C9A84C"/>
      </bottom>
      <diagonal/>
    </border>
    <border>
      <right/>
      <bottom style="medium">
        <color rgb="00C9A84C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/>
      <right/>
      <top style="thin">
        <color rgb="00C9A227"/>
      </top>
      <bottom/>
      <diagonal/>
    </border>
    <border>
      <left/>
      <right style="thin">
        <color rgb="00C9A227"/>
      </right>
      <top style="thin">
        <color rgb="00C9A227"/>
      </top>
      <bottom/>
      <diagonal/>
    </border>
    <border>
      <left/>
      <right/>
      <top style="thin">
        <color rgb="00C9A227"/>
      </top>
      <bottom style="thin">
        <color rgb="00C9A227"/>
      </bottom>
      <diagonal/>
    </border>
    <border>
      <left/>
      <right style="thin">
        <color rgb="00C9A227"/>
      </right>
      <top style="thin">
        <color rgb="00C9A227"/>
      </top>
      <bottom style="thin">
        <color rgb="00C9A227"/>
      </bottom>
      <diagonal/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FF8C00"/>
      </left>
      <right style="medium">
        <color rgb="00FF8C00"/>
      </right>
      <top style="medium">
        <color rgb="00FF8C00"/>
      </top>
      <bottom style="medium">
        <color rgb="00FF8C00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  <border>
      <left style="medium">
        <color rgb="002E5FA3"/>
      </left>
      <right style="medium">
        <color rgb="002E5FA3"/>
      </right>
      <top style="medium">
        <color rgb="002E5FA3"/>
      </top>
      <bottom style="medium">
        <color rgb="002E5FA3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2E5FA3"/>
      </top>
      <bottom/>
      <diagonal/>
    </border>
    <border>
      <left/>
      <right style="thin">
        <color rgb="002E5FA3"/>
      </right>
      <top style="thin">
        <color rgb="002E5FA3"/>
      </top>
      <bottom/>
      <diagonal/>
    </border>
    <border>
      <left/>
      <right/>
      <top style="thin">
        <color rgb="002E5FA3"/>
      </top>
      <bottom style="thin">
        <color rgb="002E5FA3"/>
      </bottom>
      <diagonal/>
    </border>
    <border>
      <left/>
      <right style="thin">
        <color rgb="002E5FA3"/>
      </right>
      <top style="thin">
        <color rgb="002E5FA3"/>
      </top>
      <bottom style="thin">
        <color rgb="002E5FA3"/>
      </bottom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FF8C00"/>
      </left>
      <right style="thin">
        <color rgb="00FF8C00"/>
      </right>
      <top style="thin">
        <color rgb="00FF8C00"/>
      </top>
      <bottom style="thin">
        <color rgb="00FF8C00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/>
      <right/>
      <top style="medium">
        <color rgb="00C9A227"/>
      </top>
      <bottom/>
      <diagonal/>
    </border>
    <border>
      <left/>
      <right style="medium">
        <color rgb="00C9A227"/>
      </right>
      <top style="medium">
        <color rgb="00C9A227"/>
      </top>
      <bottom/>
      <diagonal/>
    </border>
    <border>
      <left/>
      <right style="medium">
        <color rgb="00C9A227"/>
      </right>
      <top style="medium">
        <color rgb="00C9A227"/>
      </top>
      <bottom style="medium">
        <color rgb="00C9A227"/>
      </bottom>
      <diagonal/>
    </border>
    <border>
      <left/>
      <right/>
      <top style="medium">
        <color rgb="002E5FA3"/>
      </top>
      <bottom/>
      <diagonal/>
    </border>
    <border>
      <left/>
      <right style="medium">
        <color rgb="002E5FA3"/>
      </right>
      <top style="medium">
        <color rgb="002E5FA3"/>
      </top>
      <bottom/>
      <diagonal/>
    </border>
    <border>
      <left/>
      <right/>
      <top style="medium">
        <color rgb="002E5FA3"/>
      </top>
      <bottom style="medium">
        <color rgb="002E5FA3"/>
      </bottom>
      <diagonal/>
    </border>
    <border>
      <left/>
      <right style="medium">
        <color rgb="002E5FA3"/>
      </right>
      <top style="medium">
        <color rgb="002E5FA3"/>
      </top>
      <bottom style="medium">
        <color rgb="002E5FA3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/>
      <right/>
      <top style="medium">
        <color rgb="00C9A227"/>
      </top>
      <bottom style="medium">
        <color rgb="00C9A227"/>
      </bottom>
      <diagonal/>
    </border>
    <border>
      <left/>
      <right/>
      <top style="medium">
        <color rgb="00C00000"/>
      </top>
      <bottom/>
      <diagonal/>
    </border>
    <border>
      <left/>
      <right style="medium">
        <color rgb="00C00000"/>
      </right>
      <top style="medium">
        <color rgb="00C00000"/>
      </top>
      <bottom/>
      <diagonal/>
    </border>
    <border>
      <left/>
      <right/>
      <top style="medium">
        <color rgb="00C00000"/>
      </top>
      <bottom style="medium">
        <color rgb="00C00000"/>
      </bottom>
      <diagonal/>
    </border>
    <border>
      <left/>
      <right style="medium">
        <color rgb="00C00000"/>
      </right>
      <top style="medium">
        <color rgb="00C00000"/>
      </top>
      <bottom style="medium">
        <color rgb="00C00000"/>
      </bottom>
      <diagonal/>
    </border>
    <border>
      <left/>
      <right/>
      <top style="medium">
        <color rgb="00375623"/>
      </top>
      <bottom/>
      <diagonal/>
    </border>
    <border>
      <left/>
      <right style="medium">
        <color rgb="00375623"/>
      </right>
      <top style="medium">
        <color rgb="00375623"/>
      </top>
      <bottom/>
      <diagonal/>
    </border>
    <border>
      <left/>
      <right/>
      <top style="medium">
        <color rgb="00375623"/>
      </top>
      <bottom style="medium">
        <color rgb="00375623"/>
      </bottom>
      <diagonal/>
    </border>
    <border>
      <left/>
      <right style="medium">
        <color rgb="00375623"/>
      </right>
      <top style="medium">
        <color rgb="00375623"/>
      </top>
      <bottom style="medium">
        <color rgb="00375623"/>
      </bottom>
      <diagonal/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medium">
        <color rgb="00808080"/>
      </right>
      <top style="medium">
        <color rgb="00808080"/>
      </top>
      <bottom style="medium">
        <color rgb="00808080"/>
      </bottom>
      <diagonal/>
    </border>
    <border>
      <left/>
      <right/>
      <top style="medium">
        <color rgb="00FF8C00"/>
      </top>
      <bottom/>
      <diagonal/>
    </border>
    <border>
      <left/>
      <right style="medium">
        <color rgb="00FF8C00"/>
      </right>
      <top style="medium">
        <color rgb="00FF8C00"/>
      </top>
      <bottom/>
      <diagonal/>
    </border>
    <border>
      <left/>
      <right/>
      <top style="medium">
        <color rgb="00FF8C00"/>
      </top>
      <bottom style="medium">
        <color rgb="00FF8C00"/>
      </bottom>
      <diagonal/>
    </border>
    <border>
      <left/>
      <right style="medium">
        <color rgb="00FF8C00"/>
      </right>
      <top style="medium">
        <color rgb="00FF8C00"/>
      </top>
      <bottom style="medium">
        <color rgb="00FF8C00"/>
      </bottom>
      <diagonal/>
    </border>
  </borders>
  <cellStyleXfs count="1">
    <xf numFmtId="0" fontId="0" fillId="0" borderId="0"/>
  </cellStyleXfs>
  <cellXfs count="2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15" fillId="5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 indent="1"/>
    </xf>
    <xf numFmtId="0" fontId="17" fillId="10" borderId="5" applyAlignment="1" pivotButton="0" quotePrefix="0" xfId="0">
      <alignment horizontal="left" vertical="center"/>
    </xf>
    <xf numFmtId="0" fontId="9" fillId="7" borderId="5" applyAlignment="1" pivotButton="0" quotePrefix="0" xfId="0">
      <alignment horizontal="center" vertical="center"/>
    </xf>
    <xf numFmtId="0" fontId="0" fillId="7" borderId="5" pivotButton="0" quotePrefix="0" xfId="0"/>
    <xf numFmtId="0" fontId="7" fillId="7" borderId="5" applyAlignment="1" pivotButton="0" quotePrefix="0" xfId="0">
      <alignment horizontal="left" vertical="center"/>
    </xf>
    <xf numFmtId="0" fontId="16" fillId="7" borderId="5" applyAlignment="1" pivotButton="0" quotePrefix="0" xfId="0">
      <alignment horizontal="left" vertical="center"/>
    </xf>
    <xf numFmtId="166" fontId="18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left" vertical="center" indent="1"/>
    </xf>
    <xf numFmtId="0" fontId="16" fillId="9" borderId="5" applyAlignment="1" pivotButton="0" quotePrefix="0" xfId="0">
      <alignment horizontal="center" vertical="center"/>
    </xf>
    <xf numFmtId="0" fontId="20" fillId="11" borderId="5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4" fillId="11" borderId="10" applyAlignment="1" pivotButton="0" quotePrefix="0" xfId="0">
      <alignment horizontal="center" vertical="center"/>
    </xf>
    <xf numFmtId="0" fontId="12" fillId="7" borderId="5" applyAlignment="1" pivotButton="0" quotePrefix="0" xfId="0">
      <alignment horizontal="center" vertical="center"/>
    </xf>
    <xf numFmtId="0" fontId="16" fillId="12" borderId="5" applyAlignment="1" pivotButton="0" quotePrefix="0" xfId="0">
      <alignment horizontal="left" vertical="center"/>
    </xf>
    <xf numFmtId="167" fontId="21" fillId="12" borderId="5" applyAlignment="1" pivotButton="0" quotePrefix="0" xfId="0">
      <alignment horizontal="center" vertical="center"/>
    </xf>
    <xf numFmtId="164" fontId="22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left" vertical="center"/>
    </xf>
    <xf numFmtId="165" fontId="12" fillId="7" borderId="5" applyAlignment="1" pivotButton="0" quotePrefix="0" xfId="0">
      <alignment horizontal="center" vertical="center"/>
    </xf>
    <xf numFmtId="0" fontId="16" fillId="13" borderId="5" applyAlignment="1" pivotButton="0" quotePrefix="0" xfId="0">
      <alignment horizontal="left" vertical="center"/>
    </xf>
    <xf numFmtId="167" fontId="21" fillId="13" borderId="5" applyAlignment="1" pivotButton="0" quotePrefix="0" xfId="0">
      <alignment horizontal="center" vertical="center"/>
    </xf>
    <xf numFmtId="0" fontId="24" fillId="13" borderId="5" applyAlignment="1" pivotButton="0" quotePrefix="0" xfId="0">
      <alignment horizontal="center" vertical="center"/>
    </xf>
    <xf numFmtId="164" fontId="25" fillId="13" borderId="5" applyAlignment="1" pivotButton="0" quotePrefix="0" xfId="0">
      <alignment horizontal="left" vertical="center"/>
    </xf>
    <xf numFmtId="0" fontId="16" fillId="14" borderId="5" applyAlignment="1" pivotButton="0" quotePrefix="0" xfId="0">
      <alignment horizontal="left" vertical="center"/>
    </xf>
    <xf numFmtId="167" fontId="21" fillId="14" borderId="5" applyAlignment="1" pivotButton="0" quotePrefix="0" xfId="0">
      <alignment horizontal="center" vertical="center"/>
    </xf>
    <xf numFmtId="0" fontId="26" fillId="14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left" vertical="center"/>
    </xf>
    <xf numFmtId="164" fontId="12" fillId="7" borderId="5" applyAlignment="1" pivotButton="0" quotePrefix="0" xfId="0">
      <alignment horizontal="center" vertical="center"/>
    </xf>
    <xf numFmtId="167" fontId="21" fillId="7" borderId="5" applyAlignment="1" pivotButton="0" quotePrefix="0" xfId="0">
      <alignment horizontal="center" vertical="center"/>
    </xf>
    <xf numFmtId="0" fontId="28" fillId="7" borderId="5" applyAlignment="1" pivotButton="0" quotePrefix="0" xfId="0">
      <alignment horizontal="center" vertical="center"/>
    </xf>
    <xf numFmtId="0" fontId="29" fillId="7" borderId="5" applyAlignment="1" pivotButton="0" quotePrefix="0" xfId="0">
      <alignment horizontal="left" vertical="center"/>
    </xf>
    <xf numFmtId="0" fontId="20" fillId="10" borderId="5" applyAlignment="1" pivotButton="0" quotePrefix="0" xfId="0">
      <alignment horizontal="left" vertical="center"/>
    </xf>
    <xf numFmtId="167" fontId="2" fillId="10" borderId="5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30" fillId="10" borderId="5" applyAlignment="1" pivotButton="0" quotePrefix="0" xfId="0">
      <alignment horizontal="left" vertical="center"/>
    </xf>
    <xf numFmtId="0" fontId="0" fillId="8" borderId="0" pivotButton="0" quotePrefix="0" xfId="0"/>
    <xf numFmtId="0" fontId="20" fillId="9" borderId="5" applyAlignment="1" pivotButton="0" quotePrefix="0" xfId="0">
      <alignment horizontal="left" vertical="center"/>
    </xf>
    <xf numFmtId="0" fontId="16" fillId="8" borderId="5" applyAlignment="1" pivotButton="0" quotePrefix="0" xfId="0">
      <alignment horizontal="left" vertical="center"/>
    </xf>
    <xf numFmtId="164" fontId="15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167" fontId="31" fillId="8" borderId="5" applyAlignment="1" pivotButton="0" quotePrefix="0" xfId="0">
      <alignment horizontal="center" vertical="center"/>
    </xf>
    <xf numFmtId="165" fontId="31" fillId="8" borderId="5" applyAlignment="1" pivotButton="0" quotePrefix="0" xfId="0">
      <alignment horizontal="center" vertical="center"/>
    </xf>
    <xf numFmtId="165" fontId="16" fillId="8" borderId="5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167" fontId="31" fillId="7" borderId="5" applyAlignment="1" pivotButton="0" quotePrefix="0" xfId="0">
      <alignment horizontal="center" vertical="center"/>
    </xf>
    <xf numFmtId="165" fontId="31" fillId="7" borderId="5" applyAlignment="1" pivotButton="0" quotePrefix="0" xfId="0">
      <alignment horizontal="center" vertical="center"/>
    </xf>
    <xf numFmtId="165" fontId="16" fillId="7" borderId="5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 indent="1"/>
    </xf>
    <xf numFmtId="0" fontId="0" fillId="8" borderId="5" pivotButton="0" quotePrefix="0" xfId="0"/>
    <xf numFmtId="0" fontId="16" fillId="9" borderId="4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32" fillId="10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7" fillId="11" borderId="0" applyAlignment="1" pivotButton="0" quotePrefix="0" xfId="0">
      <alignment horizontal="right" vertical="center"/>
    </xf>
    <xf numFmtId="0" fontId="19" fillId="9" borderId="15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8" borderId="0" applyAlignment="1" pivotButton="0" quotePrefix="0" xfId="0">
      <alignment horizontal="center" vertical="center"/>
    </xf>
    <xf numFmtId="0" fontId="35" fillId="15" borderId="16" applyAlignment="1" pivotButton="0" quotePrefix="0" xfId="0">
      <alignment horizontal="center" vertical="center"/>
    </xf>
    <xf numFmtId="0" fontId="37" fillId="13" borderId="17" applyAlignment="1" pivotButton="0" quotePrefix="0" xfId="0">
      <alignment horizontal="center" vertical="center"/>
    </xf>
    <xf numFmtId="0" fontId="38" fillId="14" borderId="18" applyAlignment="1" pivotButton="0" quotePrefix="0" xfId="0">
      <alignment horizontal="center" vertical="center"/>
    </xf>
    <xf numFmtId="0" fontId="39" fillId="12" borderId="19" applyAlignment="1" pivotButton="0" quotePrefix="0" xfId="0">
      <alignment horizontal="center" vertical="center"/>
    </xf>
    <xf numFmtId="0" fontId="36" fillId="15" borderId="0" applyAlignment="1" pivotButton="0" quotePrefix="0" xfId="0">
      <alignment horizontal="center" vertical="center"/>
    </xf>
    <xf numFmtId="0" fontId="36" fillId="13" borderId="0" applyAlignment="1" pivotButton="0" quotePrefix="0" xfId="0">
      <alignment horizontal="center" vertical="center"/>
    </xf>
    <xf numFmtId="0" fontId="36" fillId="14" borderId="0" applyAlignment="1" pivotButton="0" quotePrefix="0" xfId="0">
      <alignment horizontal="center" vertical="center"/>
    </xf>
    <xf numFmtId="0" fontId="36" fillId="12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20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0" fontId="40" fillId="19" borderId="20" applyAlignment="1" pivotButton="0" quotePrefix="0" xfId="0">
      <alignment horizontal="center" vertical="center"/>
    </xf>
    <xf numFmtId="0" fontId="41" fillId="8" borderId="21" applyAlignment="1" pivotButton="0" quotePrefix="0" xfId="0">
      <alignment horizontal="center" vertical="center"/>
    </xf>
    <xf numFmtId="0" fontId="35" fillId="9" borderId="15" applyAlignment="1" pivotButton="0" quotePrefix="0" xfId="0">
      <alignment horizontal="center" vertical="center"/>
    </xf>
    <xf numFmtId="0" fontId="36" fillId="19" borderId="0" applyAlignment="1" pivotButton="0" quotePrefix="0" xfId="0">
      <alignment horizontal="center" vertical="center"/>
    </xf>
    <xf numFmtId="0" fontId="36" fillId="8" borderId="0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17" fillId="11" borderId="1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14" fillId="10" borderId="26" applyAlignment="1" pivotButton="0" quotePrefix="0" xfId="0">
      <alignment horizontal="center" vertical="center"/>
    </xf>
    <xf numFmtId="0" fontId="42" fillId="12" borderId="5" applyAlignment="1" pivotButton="0" quotePrefix="0" xfId="0">
      <alignment horizontal="left" vertical="center"/>
    </xf>
    <xf numFmtId="0" fontId="43" fillId="12" borderId="5" applyAlignment="1" pivotButton="0" quotePrefix="0" xfId="0">
      <alignment horizontal="center" vertical="center"/>
    </xf>
    <xf numFmtId="0" fontId="42" fillId="13" borderId="5" applyAlignment="1" pivotButton="0" quotePrefix="0" xfId="0">
      <alignment horizontal="left" vertical="center"/>
    </xf>
    <xf numFmtId="0" fontId="44" fillId="13" borderId="5" applyAlignment="1" pivotButton="0" quotePrefix="0" xfId="0">
      <alignment horizontal="center" vertical="center"/>
    </xf>
    <xf numFmtId="0" fontId="25" fillId="13" borderId="5" applyAlignment="1" pivotButton="0" quotePrefix="0" xfId="0">
      <alignment horizontal="left" vertical="center"/>
    </xf>
    <xf numFmtId="0" fontId="42" fillId="14" borderId="5" applyAlignment="1" pivotButton="0" quotePrefix="0" xfId="0">
      <alignment horizontal="left" vertical="center"/>
    </xf>
    <xf numFmtId="0" fontId="45" fillId="14" borderId="5" applyAlignment="1" pivotButton="0" quotePrefix="0" xfId="0">
      <alignment horizontal="center" vertical="center"/>
    </xf>
    <xf numFmtId="0" fontId="42" fillId="8" borderId="5" applyAlignment="1" pivotButton="0" quotePrefix="0" xfId="0">
      <alignment horizontal="left" vertical="center"/>
    </xf>
    <xf numFmtId="167" fontId="21" fillId="8" borderId="5" applyAlignment="1" pivotButton="0" quotePrefix="0" xfId="0">
      <alignment horizontal="center" vertical="center"/>
    </xf>
    <xf numFmtId="0" fontId="46" fillId="8" borderId="5" applyAlignment="1" pivotButton="0" quotePrefix="0" xfId="0">
      <alignment horizontal="center" vertical="center"/>
    </xf>
    <xf numFmtId="0" fontId="47" fillId="8" borderId="5" applyAlignment="1" pivotButton="0" quotePrefix="0" xfId="0">
      <alignment horizontal="left" vertical="center"/>
    </xf>
    <xf numFmtId="0" fontId="17" fillId="10" borderId="26" applyAlignment="1" pivotButton="0" quotePrefix="0" xfId="0">
      <alignment horizontal="left" vertical="center"/>
    </xf>
    <xf numFmtId="167" fontId="2" fillId="10" borderId="26" applyAlignment="1" pivotButton="0" quotePrefix="0" xfId="0">
      <alignment horizontal="center" vertical="center"/>
    </xf>
    <xf numFmtId="0" fontId="0" fillId="10" borderId="26" pivotButton="0" quotePrefix="0" xfId="0"/>
    <xf numFmtId="0" fontId="2" fillId="10" borderId="26" applyAlignment="1" pivotButton="0" quotePrefix="0" xfId="0">
      <alignment horizontal="center" vertical="center"/>
    </xf>
    <xf numFmtId="0" fontId="48" fillId="10" borderId="26" applyAlignment="1" pivotButton="0" quotePrefix="0" xfId="0">
      <alignment horizontal="left" vertical="center"/>
    </xf>
    <xf numFmtId="0" fontId="49" fillId="10" borderId="0" applyAlignment="1" pivotButton="0" quotePrefix="0" xfId="0">
      <alignment horizontal="center" vertical="center"/>
    </xf>
    <xf numFmtId="0" fontId="49" fillId="16" borderId="0" applyAlignment="1" pivotButton="0" quotePrefix="0" xfId="0">
      <alignment horizontal="center" vertical="center"/>
    </xf>
    <xf numFmtId="0" fontId="49" fillId="17" borderId="0" applyAlignment="1" pivotButton="0" quotePrefix="0" xfId="0">
      <alignment horizontal="center" vertical="center"/>
    </xf>
    <xf numFmtId="0" fontId="49" fillId="18" borderId="0" applyAlignment="1" pivotButton="0" quotePrefix="0" xfId="0">
      <alignment horizontal="center" vertical="center"/>
    </xf>
    <xf numFmtId="0" fontId="49" fillId="10" borderId="26" applyAlignment="1" pivotButton="0" quotePrefix="0" xfId="0">
      <alignment horizontal="center" vertical="center"/>
    </xf>
    <xf numFmtId="0" fontId="49" fillId="16" borderId="27" applyAlignment="1" pivotButton="0" quotePrefix="0" xfId="0">
      <alignment horizontal="center" vertical="center"/>
    </xf>
    <xf numFmtId="0" fontId="49" fillId="17" borderId="28" applyAlignment="1" pivotButton="0" quotePrefix="0" xfId="0">
      <alignment horizontal="center" vertical="center"/>
    </xf>
    <xf numFmtId="0" fontId="49" fillId="18" borderId="29" applyAlignment="1" pivotButton="0" quotePrefix="0" xfId="0">
      <alignment horizontal="center" vertical="center"/>
    </xf>
    <xf numFmtId="0" fontId="50" fillId="15" borderId="5" applyAlignment="1" pivotButton="0" quotePrefix="0" xfId="0">
      <alignment horizontal="center" vertical="center"/>
    </xf>
    <xf numFmtId="0" fontId="51" fillId="15" borderId="5" applyAlignment="1" pivotButton="0" quotePrefix="0" xfId="0">
      <alignment horizontal="center" vertical="center"/>
    </xf>
    <xf numFmtId="167" fontId="52" fillId="15" borderId="5" applyAlignment="1" pivotButton="0" quotePrefix="0" xfId="0">
      <alignment horizontal="center" vertical="center"/>
    </xf>
    <xf numFmtId="0" fontId="50" fillId="13" borderId="5" applyAlignment="1" pivotButton="0" quotePrefix="0" xfId="0">
      <alignment horizontal="center" vertical="center"/>
    </xf>
    <xf numFmtId="0" fontId="51" fillId="13" borderId="5" applyAlignment="1" pivotButton="0" quotePrefix="0" xfId="0">
      <alignment horizontal="center" vertical="center"/>
    </xf>
    <xf numFmtId="167" fontId="52" fillId="13" borderId="5" applyAlignment="1" pivotButton="0" quotePrefix="0" xfId="0">
      <alignment horizontal="center" vertical="center"/>
    </xf>
    <xf numFmtId="0" fontId="50" fillId="14" borderId="5" applyAlignment="1" pivotButton="0" quotePrefix="0" xfId="0">
      <alignment horizontal="center" vertical="center"/>
    </xf>
    <xf numFmtId="0" fontId="51" fillId="14" borderId="5" applyAlignment="1" pivotButton="0" quotePrefix="0" xfId="0">
      <alignment horizontal="center" vertical="center"/>
    </xf>
    <xf numFmtId="167" fontId="52" fillId="14" borderId="5" applyAlignment="1" pivotButton="0" quotePrefix="0" xfId="0">
      <alignment horizontal="center" vertical="center"/>
    </xf>
    <xf numFmtId="0" fontId="50" fillId="12" borderId="5" applyAlignment="1" pivotButton="0" quotePrefix="0" xfId="0">
      <alignment horizontal="center" vertical="center"/>
    </xf>
    <xf numFmtId="0" fontId="51" fillId="12" borderId="5" applyAlignment="1" pivotButton="0" quotePrefix="0" xfId="0">
      <alignment horizontal="center" vertical="center"/>
    </xf>
    <xf numFmtId="167" fontId="52" fillId="12" borderId="5" applyAlignment="1" pivotButton="0" quotePrefix="0" xfId="0">
      <alignment horizontal="center" vertical="center"/>
    </xf>
    <xf numFmtId="0" fontId="50" fillId="7" borderId="5" applyAlignment="1" pivotButton="0" quotePrefix="0" xfId="0">
      <alignment horizontal="center" vertical="center"/>
    </xf>
    <xf numFmtId="0" fontId="51" fillId="7" borderId="5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0" fontId="42" fillId="8" borderId="5" applyAlignment="1" pivotButton="0" quotePrefix="0" xfId="0">
      <alignment horizontal="center" vertical="center"/>
    </xf>
    <xf numFmtId="167" fontId="53" fillId="8" borderId="5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 vertical="center"/>
    </xf>
    <xf numFmtId="0" fontId="54" fillId="1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32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41" pivotButton="0" quotePrefix="0" xfId="0"/>
    <xf numFmtId="0" fontId="42" fillId="15" borderId="5" applyAlignment="1" pivotButton="0" quotePrefix="0" xfId="0">
      <alignment horizontal="left" vertical="center"/>
    </xf>
    <xf numFmtId="167" fontId="21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55" fillId="15" borderId="5" applyAlignment="1" pivotButton="0" quotePrefix="0" xfId="0">
      <alignment horizontal="left" vertical="center"/>
    </xf>
    <xf numFmtId="0" fontId="42" fillId="19" borderId="5" applyAlignment="1" pivotButton="0" quotePrefix="0" xfId="0">
      <alignment horizontal="left" vertical="center"/>
    </xf>
    <xf numFmtId="167" fontId="21" fillId="19" borderId="5" applyAlignment="1" pivotButton="0" quotePrefix="0" xfId="0">
      <alignment horizontal="center" vertical="center"/>
    </xf>
    <xf numFmtId="0" fontId="56" fillId="19" borderId="5" applyAlignment="1" pivotButton="0" quotePrefix="0" xfId="0">
      <alignment horizontal="center" vertical="center"/>
    </xf>
    <xf numFmtId="0" fontId="57" fillId="19" borderId="5" applyAlignment="1" pivotButton="0" quotePrefix="0" xfId="0">
      <alignment horizontal="left" vertical="center"/>
    </xf>
    <xf numFmtId="0" fontId="42" fillId="12" borderId="5" applyAlignment="1" pivotButton="0" quotePrefix="0" xfId="0">
      <alignment horizontal="left" vertical="center"/>
    </xf>
    <xf numFmtId="167" fontId="21" fillId="12" borderId="5" applyAlignment="1" pivotButton="0" quotePrefix="0" xfId="0">
      <alignment horizontal="center" vertical="center"/>
    </xf>
    <xf numFmtId="0" fontId="43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left" vertical="center"/>
    </xf>
    <xf numFmtId="0" fontId="42" fillId="13" borderId="5" applyAlignment="1" pivotButton="0" quotePrefix="0" xfId="0">
      <alignment horizontal="left" vertical="center"/>
    </xf>
    <xf numFmtId="167" fontId="21" fillId="13" borderId="5" applyAlignment="1" pivotButton="0" quotePrefix="0" xfId="0">
      <alignment horizontal="center" vertical="center"/>
    </xf>
    <xf numFmtId="0" fontId="44" fillId="13" borderId="5" applyAlignment="1" pivotButton="0" quotePrefix="0" xfId="0">
      <alignment horizontal="center" vertical="center"/>
    </xf>
    <xf numFmtId="0" fontId="25" fillId="13" borderId="5" applyAlignment="1" pivotButton="0" quotePrefix="0" xfId="0">
      <alignment horizontal="left" vertical="center"/>
    </xf>
    <xf numFmtId="0" fontId="42" fillId="14" borderId="5" applyAlignment="1" pivotButton="0" quotePrefix="0" xfId="0">
      <alignment horizontal="left" vertical="center"/>
    </xf>
    <xf numFmtId="167" fontId="21" fillId="14" borderId="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left" vertical="center"/>
    </xf>
    <xf numFmtId="0" fontId="17" fillId="10" borderId="26" applyAlignment="1" pivotButton="0" quotePrefix="0" xfId="0">
      <alignment horizontal="left" vertical="center"/>
    </xf>
    <xf numFmtId="167" fontId="2" fillId="10" borderId="26" applyAlignment="1" pivotButton="0" quotePrefix="0" xfId="0">
      <alignment horizontal="center" vertical="center"/>
    </xf>
    <xf numFmtId="0" fontId="2" fillId="10" borderId="26" applyAlignment="1" pivotButton="0" quotePrefix="0" xfId="0">
      <alignment horizontal="center" vertical="center"/>
    </xf>
    <xf numFmtId="0" fontId="48" fillId="10" borderId="26" applyAlignment="1" pivotButton="0" quotePrefix="0" xfId="0">
      <alignment horizontal="left" vertical="center"/>
    </xf>
    <xf numFmtId="164" fontId="18" fillId="15" borderId="5" applyAlignment="1" pivotButton="0" quotePrefix="0" xfId="0">
      <alignment horizontal="center" vertical="center"/>
    </xf>
    <xf numFmtId="164" fontId="57" fillId="19" borderId="5" applyAlignment="1" pivotButton="0" quotePrefix="0" xfId="0">
      <alignment horizontal="left" vertical="center"/>
    </xf>
    <xf numFmtId="0" fontId="58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59" fillId="8" borderId="0" applyAlignment="1" pivotButton="0" quotePrefix="0" xfId="0">
      <alignment horizontal="left" vertical="center" wrapText="1"/>
    </xf>
    <xf numFmtId="0" fontId="20" fillId="10" borderId="26" applyAlignment="1" pivotButton="0" quotePrefix="0" xfId="0">
      <alignment horizontal="center" vertical="center"/>
    </xf>
    <xf numFmtId="0" fontId="60" fillId="15" borderId="5" applyAlignment="1" pivotButton="0" quotePrefix="0" xfId="0">
      <alignment horizontal="left" vertical="center" wrapText="1"/>
    </xf>
    <xf numFmtId="0" fontId="22" fillId="15" borderId="5" applyAlignment="1" pivotButton="0" quotePrefix="0" xfId="0">
      <alignment horizontal="center" vertical="center"/>
    </xf>
    <xf numFmtId="0" fontId="61" fillId="15" borderId="5" applyAlignment="1" pivotButton="0" quotePrefix="0" xfId="0">
      <alignment horizontal="left" vertical="center" wrapText="1"/>
    </xf>
    <xf numFmtId="0" fontId="62" fillId="15" borderId="5" applyAlignment="1" pivotButton="0" quotePrefix="0" xfId="0">
      <alignment horizontal="left" vertical="center" wrapText="1"/>
    </xf>
    <xf numFmtId="0" fontId="60" fillId="7" borderId="5" applyAlignment="1" pivotButton="0" quotePrefix="0" xfId="0">
      <alignment horizontal="left" vertical="center" wrapText="1"/>
    </xf>
    <xf numFmtId="0" fontId="22" fillId="7" borderId="5" applyAlignment="1" pivotButton="0" quotePrefix="0" xfId="0">
      <alignment horizontal="center" vertical="center"/>
    </xf>
    <xf numFmtId="0" fontId="61" fillId="7" borderId="5" applyAlignment="1" pivotButton="0" quotePrefix="0" xfId="0">
      <alignment horizontal="left" vertical="center" wrapText="1"/>
    </xf>
    <xf numFmtId="0" fontId="62" fillId="7" borderId="5" applyAlignment="1" pivotButton="0" quotePrefix="0" xfId="0">
      <alignment horizontal="left" vertical="center" wrapText="1"/>
    </xf>
    <xf numFmtId="0" fontId="47" fillId="8" borderId="0" applyAlignment="1" pivotButton="0" quotePrefix="0" xfId="0">
      <alignment horizontal="left" vertical="center" wrapText="1"/>
    </xf>
    <xf numFmtId="0" fontId="54" fillId="10" borderId="0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/>
    </xf>
    <xf numFmtId="0" fontId="14" fillId="11" borderId="5" applyAlignment="1" pivotButton="0" quotePrefix="0" xfId="0">
      <alignment horizontal="center" vertical="center"/>
    </xf>
    <xf numFmtId="0" fontId="14" fillId="18" borderId="5" applyAlignment="1" pivotButton="0" quotePrefix="0" xfId="0">
      <alignment horizontal="center" vertical="center"/>
    </xf>
    <xf numFmtId="0" fontId="14" fillId="16" borderId="5" applyAlignment="1" pivotButton="0" quotePrefix="0" xfId="0">
      <alignment horizontal="center" vertical="center"/>
    </xf>
    <xf numFmtId="0" fontId="63" fillId="15" borderId="16" applyAlignment="1" pivotButton="0" quotePrefix="0" xfId="0">
      <alignment horizontal="center" vertical="center"/>
    </xf>
    <xf numFmtId="0" fontId="64" fillId="19" borderId="20" applyAlignment="1" pivotButton="0" quotePrefix="0" xfId="0">
      <alignment horizontal="center" vertical="center"/>
    </xf>
    <xf numFmtId="0" fontId="65" fillId="12" borderId="19" applyAlignment="1" pivotButton="0" quotePrefix="0" xfId="0">
      <alignment horizontal="center" vertical="center"/>
    </xf>
    <xf numFmtId="0" fontId="66" fillId="13" borderId="17" applyAlignment="1" pivotButton="0" quotePrefix="0" xfId="0">
      <alignment horizontal="center" vertical="center"/>
    </xf>
    <xf numFmtId="0" fontId="36" fillId="15" borderId="5" applyAlignment="1" pivotButton="0" quotePrefix="0" xfId="0">
      <alignment horizontal="center" vertical="center"/>
    </xf>
    <xf numFmtId="0" fontId="36" fillId="19" borderId="5" applyAlignment="1" pivotButton="0" quotePrefix="0" xfId="0">
      <alignment horizontal="center" vertical="center"/>
    </xf>
    <xf numFmtId="0" fontId="36" fillId="12" borderId="5" applyAlignment="1" pivotButton="0" quotePrefix="0" xfId="0">
      <alignment horizontal="center" vertical="center"/>
    </xf>
    <xf numFmtId="0" fontId="36" fillId="13" borderId="5" applyAlignment="1" pivotButton="0" quotePrefix="0" xfId="0">
      <alignment horizontal="center" vertical="center"/>
    </xf>
    <xf numFmtId="0" fontId="14" fillId="17" borderId="5" applyAlignment="1" pivotButton="0" quotePrefix="0" xfId="0">
      <alignment horizontal="center" vertical="center"/>
    </xf>
    <xf numFmtId="0" fontId="14" fillId="20" borderId="5" applyAlignment="1" pivotButton="0" quotePrefix="0" xfId="0">
      <alignment horizontal="center" vertical="center"/>
    </xf>
    <xf numFmtId="0" fontId="14" fillId="21" borderId="5" applyAlignment="1" pivotButton="0" quotePrefix="0" xfId="0">
      <alignment horizontal="center" vertical="center"/>
    </xf>
    <xf numFmtId="0" fontId="67" fillId="14" borderId="18" applyAlignment="1" pivotButton="0" quotePrefix="0" xfId="0">
      <alignment horizontal="center" vertical="center"/>
    </xf>
    <xf numFmtId="0" fontId="68" fillId="8" borderId="21" applyAlignment="1" pivotButton="0" quotePrefix="0" xfId="0">
      <alignment horizontal="center" vertical="center"/>
    </xf>
    <xf numFmtId="0" fontId="63" fillId="9" borderId="15" applyAlignment="1" pivotButton="0" quotePrefix="0" xfId="0">
      <alignment horizontal="center" vertical="center"/>
    </xf>
    <xf numFmtId="0" fontId="36" fillId="14" borderId="5" applyAlignment="1" pivotButton="0" quotePrefix="0" xfId="0">
      <alignment horizontal="center" vertical="center"/>
    </xf>
    <xf numFmtId="0" fontId="36" fillId="8" borderId="5" applyAlignment="1" pivotButton="0" quotePrefix="0" xfId="0">
      <alignment horizontal="center" vertical="center"/>
    </xf>
    <xf numFmtId="0" fontId="36" fillId="9" borderId="5" applyAlignment="1" pivotButton="0" quotePrefix="0" xfId="0">
      <alignment horizontal="center" vertical="center"/>
    </xf>
    <xf numFmtId="0" fontId="0" fillId="10" borderId="5" pivotButton="0" quotePrefix="0" xfId="0"/>
    <xf numFmtId="0" fontId="17" fillId="7" borderId="5" applyAlignment="1" pivotButton="0" quotePrefix="0" xfId="0">
      <alignment horizontal="left" vertical="center"/>
    </xf>
    <xf numFmtId="0" fontId="20" fillId="8" borderId="5" applyAlignment="1" pivotButton="0" quotePrefix="0" xfId="0">
      <alignment horizontal="left" vertical="center"/>
    </xf>
    <xf numFmtId="0" fontId="14" fillId="8" borderId="10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164" fontId="18" fillId="8" borderId="5" applyAlignment="1" pivotButton="0" quotePrefix="0" xfId="0">
      <alignment horizontal="center" vertical="center"/>
    </xf>
    <xf numFmtId="0" fontId="55" fillId="8" borderId="5" applyAlignment="1" pivotButton="0" quotePrefix="0" xfId="0">
      <alignment horizontal="left" vertical="center"/>
    </xf>
    <xf numFmtId="165" fontId="12" fillId="8" borderId="5" applyAlignment="1" pivotButton="0" quotePrefix="0" xfId="0">
      <alignment horizontal="center" vertical="center"/>
    </xf>
    <xf numFmtId="0" fontId="56" fillId="8" borderId="5" applyAlignment="1" pivotButton="0" quotePrefix="0" xfId="0">
      <alignment horizontal="center" vertical="center"/>
    </xf>
    <xf numFmtId="164" fontId="57" fillId="8" borderId="5" applyAlignment="1" pivotButton="0" quotePrefix="0" xfId="0">
      <alignment horizontal="left" vertical="center"/>
    </xf>
    <xf numFmtId="0" fontId="43" fillId="8" borderId="5" applyAlignment="1" pivotButton="0" quotePrefix="0" xfId="0">
      <alignment horizontal="center" vertical="center"/>
    </xf>
    <xf numFmtId="0" fontId="23" fillId="8" borderId="5" applyAlignment="1" pivotButton="0" quotePrefix="0" xfId="0">
      <alignment horizontal="left" vertical="center"/>
    </xf>
    <xf numFmtId="164" fontId="12" fillId="8" borderId="5" applyAlignment="1" pivotButton="0" quotePrefix="0" xfId="0">
      <alignment horizontal="center" vertical="center"/>
    </xf>
    <xf numFmtId="0" fontId="44" fillId="8" borderId="5" applyAlignment="1" pivotButton="0" quotePrefix="0" xfId="0">
      <alignment horizontal="center" vertical="center"/>
    </xf>
    <xf numFmtId="0" fontId="25" fillId="8" borderId="5" applyAlignment="1" pivotButton="0" quotePrefix="0" xfId="0">
      <alignment horizontal="left" vertical="center"/>
    </xf>
    <xf numFmtId="0" fontId="45" fillId="8" borderId="5" applyAlignment="1" pivotButton="0" quotePrefix="0" xfId="0">
      <alignment horizontal="center" vertical="center"/>
    </xf>
    <xf numFmtId="0" fontId="27" fillId="8" borderId="5" applyAlignment="1" pivotButton="0" quotePrefix="0" xfId="0">
      <alignment horizontal="left" vertical="center"/>
    </xf>
    <xf numFmtId="0" fontId="17" fillId="8" borderId="26" applyAlignment="1" pivotButton="0" quotePrefix="0" xfId="0">
      <alignment horizontal="left" vertical="center"/>
    </xf>
    <xf numFmtId="167" fontId="2" fillId="8" borderId="26" applyAlignment="1" pivotButton="0" quotePrefix="0" xfId="0">
      <alignment horizontal="center" vertical="center"/>
    </xf>
    <xf numFmtId="0" fontId="0" fillId="8" borderId="26" pivotButton="0" quotePrefix="0" xfId="0"/>
    <xf numFmtId="0" fontId="2" fillId="8" borderId="26" applyAlignment="1" pivotButton="0" quotePrefix="0" xfId="0">
      <alignment horizontal="center" vertical="center"/>
    </xf>
    <xf numFmtId="0" fontId="48" fillId="8" borderId="26" applyAlignment="1" pivotButton="0" quotePrefix="0" xfId="0">
      <alignment horizontal="left" vertical="center"/>
    </xf>
    <xf numFmtId="167" fontId="18" fillId="7" borderId="5" applyAlignment="1" pivotButton="0" quotePrefix="0" xfId="0">
      <alignment horizontal="center" vertical="center"/>
    </xf>
    <xf numFmtId="167" fontId="15" fillId="5" borderId="0" applyAlignment="1" pivotButton="0" quotePrefix="0" xfId="0">
      <alignment horizontal="center" vertical="center"/>
    </xf>
    <xf numFmtId="167" fontId="15" fillId="8" borderId="0" applyAlignment="1" pivotButton="0" quotePrefix="0" xfId="0">
      <alignment horizontal="center" vertical="center"/>
    </xf>
    <xf numFmtId="167" fontId="1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1" ht="30" customHeight="1">
      <c r="A1" s="86" t="inlineStr">
        <is>
          <t>PROTEG-RT MUTUALIDAD</t>
        </is>
      </c>
    </row>
    <row r="2" ht="22" customHeight="1">
      <c r="A2" s="87" t="inlineStr">
        <is>
          <t>DASHBOARD — REPORTE DE COBRANZA JUNTA MENSUAL</t>
        </is>
      </c>
    </row>
    <row r="3" ht="18" customHeight="1">
      <c r="A3" s="204" t="inlineStr">
        <is>
          <t>AÑO 2026</t>
        </is>
      </c>
    </row>
    <row r="4" ht="8" customHeight="1">
      <c r="A4" s="89" t="n"/>
      <c r="B4" s="89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</row>
    <row r="5" ht="24" customHeight="1">
      <c r="A5" s="90" t="inlineStr">
        <is>
          <t>MES:</t>
        </is>
      </c>
      <c r="C5" s="91" t="inlineStr">
        <is>
          <t>ENERO 2026</t>
        </is>
      </c>
      <c r="D5" s="162" t="n"/>
      <c r="E5" s="90" t="inlineStr">
        <is>
          <t>AÑO:</t>
        </is>
      </c>
      <c r="G5" s="91" t="inlineStr">
        <is>
          <t>2026</t>
        </is>
      </c>
      <c r="H5" s="162" t="n"/>
    </row>
    <row r="7" ht="24" customHeight="1">
      <c r="A7" s="217" t="inlineStr">
        <is>
          <t>COBRANZA
TOTAL GENERAL</t>
        </is>
      </c>
      <c r="B7" s="45" t="n"/>
      <c r="C7" s="46" t="n"/>
      <c r="D7" s="218" t="inlineStr">
        <is>
          <t>COBRANZA
RECUPERADA</t>
        </is>
      </c>
      <c r="E7" s="45" t="n"/>
      <c r="F7" s="46" t="n"/>
      <c r="G7" s="219" t="inlineStr">
        <is>
          <t>COBRANZA
EFECTIVA</t>
        </is>
      </c>
      <c r="H7" s="45" t="n"/>
      <c r="I7" s="46" t="n"/>
      <c r="J7" s="220" t="inlineStr">
        <is>
          <t>CANCELACIONES</t>
        </is>
      </c>
      <c r="K7" s="45" t="n"/>
      <c r="L7" s="46" t="n"/>
      <c r="M7" s="38" t="n"/>
      <c r="N7" s="38" t="n"/>
    </row>
    <row r="8" ht="38" customHeight="1">
      <c r="A8" s="221" t="inlineStr">
        <is>
          <t>$1,408,644</t>
        </is>
      </c>
      <c r="B8" s="163" t="n"/>
      <c r="C8" s="164" t="n"/>
      <c r="D8" s="222" t="inlineStr">
        <is>
          <t>$115,277</t>
        </is>
      </c>
      <c r="E8" s="171" t="n"/>
      <c r="F8" s="172" t="n"/>
      <c r="G8" s="223" t="inlineStr">
        <is>
          <t>$1,228,968</t>
        </is>
      </c>
      <c r="H8" s="169" t="n"/>
      <c r="I8" s="170" t="n"/>
      <c r="J8" s="224" t="inlineStr">
        <is>
          <t>$127,110</t>
        </is>
      </c>
      <c r="K8" s="165" t="n"/>
      <c r="L8" s="166" t="n"/>
      <c r="M8" s="38" t="n"/>
      <c r="N8" s="38" t="n"/>
    </row>
    <row r="9" ht="16" customHeight="1">
      <c r="A9" s="225" t="inlineStr">
        <is>
          <t>87.2% del total</t>
        </is>
      </c>
      <c r="B9" s="45" t="n"/>
      <c r="C9" s="46" t="n"/>
      <c r="D9" s="226" t="inlineStr">
        <is>
          <t>8.2% del total</t>
        </is>
      </c>
      <c r="E9" s="45" t="n"/>
      <c r="F9" s="46" t="n"/>
      <c r="G9" s="227" t="inlineStr">
        <is>
          <t>87.2% del total</t>
        </is>
      </c>
      <c r="H9" s="45" t="n"/>
      <c r="I9" s="46" t="n"/>
      <c r="J9" s="228" t="inlineStr">
        <is>
          <t>9.0% del total</t>
        </is>
      </c>
      <c r="K9" s="45" t="n"/>
      <c r="L9" s="46" t="n"/>
      <c r="M9" s="38" t="n"/>
      <c r="N9" s="38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24" customHeight="1">
      <c r="A11" s="217" t="inlineStr">
        <is>
          <t>COBRANZA
CORRIENTE</t>
        </is>
      </c>
      <c r="B11" s="45" t="n"/>
      <c r="C11" s="46" t="n"/>
      <c r="D11" s="229" t="inlineStr">
        <is>
          <t>COBRANZA
VENCIDA</t>
        </is>
      </c>
      <c r="E11" s="45" t="n"/>
      <c r="F11" s="46" t="n"/>
      <c r="G11" s="230" t="inlineStr">
        <is>
          <t>COBRANZA
ANTICIPADA</t>
        </is>
      </c>
      <c r="H11" s="45" t="n"/>
      <c r="I11" s="46" t="n"/>
      <c r="J11" s="231" t="inlineStr">
        <is>
          <t>PROYECCION
SIG. MES</t>
        </is>
      </c>
      <c r="K11" s="45" t="n"/>
      <c r="L11" s="46" t="n"/>
      <c r="M11" s="38" t="n"/>
      <c r="N11" s="38" t="n"/>
    </row>
    <row r="12" ht="38" customHeight="1">
      <c r="A12" s="221" t="inlineStr">
        <is>
          <t>$1,608,391</t>
        </is>
      </c>
      <c r="B12" s="163" t="n"/>
      <c r="C12" s="164" t="n"/>
      <c r="D12" s="232" t="inlineStr">
        <is>
          <t>$166,220</t>
        </is>
      </c>
      <c r="E12" s="167" t="n"/>
      <c r="F12" s="168" t="n"/>
      <c r="G12" s="233" t="inlineStr">
        <is>
          <t>$8,618</t>
        </is>
      </c>
      <c r="H12" s="173" t="n"/>
      <c r="I12" s="174" t="n"/>
      <c r="J12" s="234" t="inlineStr">
        <is>
          <t>$1,158,184</t>
        </is>
      </c>
      <c r="K12" s="175" t="n"/>
      <c r="L12" s="162" t="n"/>
      <c r="M12" s="38" t="n"/>
      <c r="N12" s="38" t="n"/>
    </row>
    <row r="13" ht="16" customHeight="1">
      <c r="A13" s="225" t="inlineStr">
        <is>
          <t>Total del mes</t>
        </is>
      </c>
      <c r="B13" s="45" t="n"/>
      <c r="C13" s="46" t="n"/>
      <c r="D13" s="235" t="inlineStr">
        <is>
          <t>11.8% del total</t>
        </is>
      </c>
      <c r="E13" s="45" t="n"/>
      <c r="F13" s="46" t="n"/>
      <c r="G13" s="236" t="inlineStr">
        <is>
          <t>0.6% del total</t>
        </is>
      </c>
      <c r="H13" s="45" t="n"/>
      <c r="I13" s="46" t="n"/>
      <c r="J13" s="237" t="inlineStr">
        <is>
          <t>Proyeccion FEB 2026</t>
        </is>
      </c>
      <c r="K13" s="45" t="n"/>
      <c r="L13" s="46" t="n"/>
      <c r="M13" s="38" t="n"/>
      <c r="N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</row>
    <row r="15" ht="8" customHeight="1">
      <c r="A15" s="238" t="n"/>
      <c r="B15" s="238" t="n"/>
      <c r="C15" s="238" t="n"/>
      <c r="D15" s="238" t="n"/>
      <c r="E15" s="238" t="n"/>
      <c r="F15" s="238" t="n"/>
      <c r="G15" s="238" t="n"/>
      <c r="H15" s="238" t="n"/>
      <c r="I15" s="238" t="n"/>
      <c r="J15" s="238" t="n"/>
      <c r="K15" s="238" t="n"/>
      <c r="L15" s="238" t="n"/>
      <c r="M15" s="238" t="n"/>
      <c r="N15" s="238" t="n"/>
    </row>
    <row r="16" ht="22" customHeight="1">
      <c r="A16" s="113" t="inlineStr">
        <is>
          <t>CONCENTRADO GENERAL — DISTRIBUCIÓN DEL MES</t>
        </is>
      </c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  <c r="N16" s="115" t="n"/>
    </row>
    <row r="17" ht="18" customHeight="1">
      <c r="A17" s="116" t="inlineStr">
        <is>
          <t>CONCEPTO</t>
        </is>
      </c>
      <c r="B17" s="116" t="inlineStr">
        <is>
          <t>TOTAL ($)</t>
        </is>
      </c>
      <c r="C17" s="38" t="n"/>
      <c r="D17" s="116" t="inlineStr">
        <is>
          <t>% PARTICIP.</t>
        </is>
      </c>
      <c r="E17" s="38" t="n"/>
      <c r="F17" s="116" t="inlineStr">
        <is>
          <t>ESTATUS</t>
        </is>
      </c>
      <c r="G17" s="38" t="n"/>
      <c r="H17" s="38" t="n"/>
      <c r="I17" s="38" t="n"/>
      <c r="J17" s="38" t="n"/>
      <c r="K17" s="38" t="n"/>
      <c r="L17" s="38" t="n"/>
      <c r="M17" s="38" t="n"/>
      <c r="N17" s="38" t="n"/>
    </row>
    <row r="18" ht="18" customHeight="1">
      <c r="A18" s="176" t="inlineStr">
        <is>
          <t>COBRANZA TOTAL GENERAL</t>
        </is>
      </c>
      <c r="B18" s="177" t="n">
        <v>1408644</v>
      </c>
      <c r="C18" s="38" t="n"/>
      <c r="D18" s="178" t="inlineStr">
        <is>
          <t>100.0%</t>
        </is>
      </c>
      <c r="E18" s="38" t="n"/>
      <c r="F18" s="179" t="inlineStr">
        <is>
          <t>Base del periodo</t>
        </is>
      </c>
      <c r="G18" s="38" t="n"/>
      <c r="H18" s="38" t="n"/>
      <c r="I18" s="38" t="n"/>
      <c r="J18" s="38" t="n"/>
      <c r="K18" s="38" t="n"/>
      <c r="L18" s="38" t="n"/>
      <c r="M18" s="38" t="n"/>
      <c r="N18" s="38" t="n"/>
    </row>
    <row r="19" ht="18" customHeight="1">
      <c r="A19" s="180" t="inlineStr">
        <is>
          <t>COBRANZA RECUPERADA</t>
        </is>
      </c>
      <c r="B19" s="181" t="n">
        <v>115277</v>
      </c>
      <c r="C19" s="38" t="n"/>
      <c r="D19" s="182" t="inlineStr">
        <is>
          <t>8.2%</t>
        </is>
      </c>
      <c r="E19" s="38" t="n"/>
      <c r="F19" s="183" t="inlineStr">
        <is>
          <t>Acumulado del mes</t>
        </is>
      </c>
      <c r="G19" s="38" t="n"/>
      <c r="H19" s="38" t="n"/>
      <c r="I19" s="38" t="n"/>
      <c r="J19" s="38" t="n"/>
      <c r="K19" s="38" t="n"/>
      <c r="L19" s="38" t="n"/>
      <c r="M19" s="38" t="n"/>
      <c r="N19" s="38" t="n"/>
    </row>
    <row r="20" ht="18" customHeight="1">
      <c r="A20" s="184" t="inlineStr">
        <is>
          <t>COBRANZA EFECTIVA</t>
        </is>
      </c>
      <c r="B20" s="185" t="n">
        <v>1228968</v>
      </c>
      <c r="C20" s="38" t="n"/>
      <c r="D20" s="186" t="inlineStr">
        <is>
          <t>87.2%</t>
        </is>
      </c>
      <c r="E20" s="38" t="n"/>
      <c r="F20" s="187" t="inlineStr">
        <is>
          <t>Cobrado en el mes</t>
        </is>
      </c>
      <c r="G20" s="38" t="n"/>
      <c r="H20" s="38" t="n"/>
      <c r="I20" s="38" t="n"/>
      <c r="J20" s="38" t="n"/>
      <c r="K20" s="38" t="n"/>
      <c r="L20" s="38" t="n"/>
      <c r="M20" s="38" t="n"/>
      <c r="N20" s="38" t="n"/>
    </row>
    <row r="21" ht="18" customHeight="1">
      <c r="A21" s="188" t="inlineStr">
        <is>
          <t>CANCELACIONES</t>
        </is>
      </c>
      <c r="B21" s="189" t="n">
        <v>127110</v>
      </c>
      <c r="C21" s="38" t="n"/>
      <c r="D21" s="190" t="inlineStr">
        <is>
          <t>9.0%</t>
        </is>
      </c>
      <c r="E21" s="38" t="n"/>
      <c r="F21" s="191" t="inlineStr">
        <is>
          <t>Pendiente</t>
        </is>
      </c>
      <c r="G21" s="38" t="n"/>
      <c r="H21" s="38" t="n"/>
      <c r="I21" s="38" t="n"/>
      <c r="J21" s="38" t="n"/>
      <c r="K21" s="38" t="n"/>
      <c r="L21" s="38" t="n"/>
      <c r="M21" s="38" t="n"/>
      <c r="N21" s="38" t="n"/>
    </row>
    <row r="22" ht="18" customHeight="1">
      <c r="A22" s="192" t="inlineStr">
        <is>
          <t>COBRANZA VENCIDA</t>
        </is>
      </c>
      <c r="B22" s="193" t="n">
        <v>166220</v>
      </c>
      <c r="C22" s="38" t="n"/>
      <c r="D22" s="194" t="inlineStr">
        <is>
          <t>11.8%</t>
        </is>
      </c>
      <c r="E22" s="38" t="n"/>
      <c r="F22" s="195" t="inlineStr">
        <is>
          <t>En riesgo</t>
        </is>
      </c>
      <c r="G22" s="38" t="n"/>
      <c r="H22" s="38" t="n"/>
      <c r="I22" s="38" t="n"/>
      <c r="J22" s="38" t="n"/>
      <c r="K22" s="38" t="n"/>
      <c r="L22" s="38" t="n"/>
      <c r="M22" s="38" t="n"/>
      <c r="N22" s="38" t="n"/>
    </row>
    <row r="23" ht="22" customHeight="1">
      <c r="A23" s="196" t="inlineStr">
        <is>
          <t>TOTAL ACUMULADO</t>
        </is>
      </c>
      <c r="B23" s="197" t="n">
        <v>3046219</v>
      </c>
      <c r="C23" s="130" t="n"/>
      <c r="D23" s="198" t="inlineStr">
        <is>
          <t>100%</t>
        </is>
      </c>
      <c r="E23" s="130" t="n"/>
      <c r="F23" s="199" t="inlineStr">
        <is>
          <t>Suma de todos los conceptos</t>
        </is>
      </c>
      <c r="G23" s="130" t="n"/>
      <c r="H23" s="130" t="n"/>
      <c r="I23" s="130" t="n"/>
      <c r="J23" s="130" t="n"/>
      <c r="K23" s="130" t="n"/>
      <c r="L23" s="130" t="n"/>
      <c r="M23" s="130" t="n"/>
      <c r="N23" s="130" t="n"/>
    </row>
    <row r="24" ht="22" customHeight="1">
      <c r="A24" s="239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6" t="n"/>
    </row>
    <row r="25" ht="20" customHeight="1">
      <c r="A25" s="133" t="inlineStr">
        <is>
          <t>COBRANZA CORRIENTE</t>
        </is>
      </c>
      <c r="E25" s="134" t="inlineStr">
        <is>
          <t>CANCELACIONES</t>
        </is>
      </c>
      <c r="I25" s="135" t="inlineStr">
        <is>
          <t>COBRANZA VENCIDA</t>
        </is>
      </c>
      <c r="M25" s="136" t="inlineStr">
        <is>
          <t>COBRANZA EFECTIVA</t>
        </is>
      </c>
    </row>
    <row r="26" ht="15" customHeight="1">
      <c r="A26" s="137" t="inlineStr">
        <is>
          <t>LUGAR</t>
        </is>
      </c>
      <c r="B26" s="137" t="inlineStr">
        <is>
          <t>VENDEDOR</t>
        </is>
      </c>
      <c r="C26" s="137" t="inlineStr">
        <is>
          <t>MONTO</t>
        </is>
      </c>
      <c r="E26" s="138" t="inlineStr">
        <is>
          <t>LUGAR</t>
        </is>
      </c>
      <c r="F26" s="138" t="inlineStr">
        <is>
          <t>VENDEDOR</t>
        </is>
      </c>
      <c r="G26" s="138" t="inlineStr">
        <is>
          <t>MONTO</t>
        </is>
      </c>
      <c r="I26" s="139" t="inlineStr">
        <is>
          <t>LUGAR</t>
        </is>
      </c>
      <c r="J26" s="139" t="inlineStr">
        <is>
          <t>VENDEDOR</t>
        </is>
      </c>
      <c r="K26" s="139" t="inlineStr">
        <is>
          <t>MONTO</t>
        </is>
      </c>
      <c r="M26" s="140" t="inlineStr">
        <is>
          <t>LUGAR</t>
        </is>
      </c>
      <c r="N26" s="140" t="inlineStr">
        <is>
          <t>VENDEDOR</t>
        </is>
      </c>
      <c r="O26" s="140" t="inlineStr">
        <is>
          <t>MONTO</t>
        </is>
      </c>
    </row>
    <row r="27" ht="16" customHeight="1">
      <c r="A27" s="141" t="inlineStr">
        <is>
          <t>1er</t>
        </is>
      </c>
      <c r="B27" s="142" t="inlineStr">
        <is>
          <t>V6</t>
        </is>
      </c>
      <c r="C27" s="143" t="n">
        <v>356324</v>
      </c>
      <c r="E27" s="144" t="inlineStr">
        <is>
          <t>1er</t>
        </is>
      </c>
      <c r="F27" s="145" t="inlineStr">
        <is>
          <t>V38</t>
        </is>
      </c>
      <c r="G27" s="146" t="n">
        <v>21035</v>
      </c>
      <c r="I27" s="147" t="inlineStr">
        <is>
          <t>1er</t>
        </is>
      </c>
      <c r="J27" s="148" t="inlineStr">
        <is>
          <t>V39</t>
        </is>
      </c>
      <c r="K27" s="149" t="n">
        <v>32232</v>
      </c>
      <c r="M27" s="150" t="inlineStr">
        <is>
          <t>1er</t>
        </is>
      </c>
      <c r="N27" s="151" t="inlineStr">
        <is>
          <t>EDGAR</t>
        </is>
      </c>
      <c r="O27" s="152" t="n">
        <v>150839</v>
      </c>
    </row>
    <row r="28" ht="16" customHeight="1">
      <c r="A28" s="153" t="inlineStr">
        <is>
          <t>2o</t>
        </is>
      </c>
      <c r="B28" s="154" t="inlineStr">
        <is>
          <t>V1</t>
        </is>
      </c>
      <c r="C28" s="155" t="n">
        <v>297307</v>
      </c>
      <c r="E28" s="153" t="inlineStr">
        <is>
          <t>2o</t>
        </is>
      </c>
      <c r="F28" s="154" t="inlineStr">
        <is>
          <t>V56</t>
        </is>
      </c>
      <c r="G28" s="155" t="n">
        <v>17664</v>
      </c>
      <c r="I28" s="153" t="inlineStr">
        <is>
          <t>2o</t>
        </is>
      </c>
      <c r="J28" s="154" t="inlineStr">
        <is>
          <t>FRANCISCO</t>
        </is>
      </c>
      <c r="K28" s="155" t="n">
        <v>24988</v>
      </c>
      <c r="M28" s="153" t="inlineStr">
        <is>
          <t>2o</t>
        </is>
      </c>
      <c r="N28" s="154" t="inlineStr">
        <is>
          <t>FRANCISCO</t>
        </is>
      </c>
      <c r="O28" s="155" t="n">
        <v>140739</v>
      </c>
    </row>
    <row r="29" ht="16" customHeight="1">
      <c r="A29" s="141" t="inlineStr">
        <is>
          <t>3o</t>
        </is>
      </c>
      <c r="B29" s="142" t="inlineStr">
        <is>
          <t>V38</t>
        </is>
      </c>
      <c r="C29" s="143" t="n">
        <v>241116</v>
      </c>
      <c r="E29" s="144" t="inlineStr">
        <is>
          <t>3o</t>
        </is>
      </c>
      <c r="F29" s="145" t="inlineStr">
        <is>
          <t>V6</t>
        </is>
      </c>
      <c r="G29" s="146" t="n">
        <v>15924</v>
      </c>
      <c r="I29" s="147" t="inlineStr">
        <is>
          <t>3o</t>
        </is>
      </c>
      <c r="J29" s="148" t="inlineStr">
        <is>
          <t>JORGE</t>
        </is>
      </c>
      <c r="K29" s="149" t="n">
        <v>23648</v>
      </c>
      <c r="M29" s="150" t="inlineStr">
        <is>
          <t>3o</t>
        </is>
      </c>
      <c r="N29" s="151" t="inlineStr">
        <is>
          <t>EDUARDO</t>
        </is>
      </c>
      <c r="O29" s="152" t="n">
        <v>91742</v>
      </c>
    </row>
    <row r="30" ht="16" customHeight="1">
      <c r="A30" s="153" t="inlineStr">
        <is>
          <t>4o</t>
        </is>
      </c>
      <c r="B30" s="154" t="inlineStr">
        <is>
          <t>V39</t>
        </is>
      </c>
      <c r="C30" s="155" t="n">
        <v>176093</v>
      </c>
      <c r="E30" s="153" t="inlineStr">
        <is>
          <t>4o</t>
        </is>
      </c>
      <c r="F30" s="154" t="inlineStr">
        <is>
          <t>V84</t>
        </is>
      </c>
      <c r="G30" s="155" t="n">
        <v>14374</v>
      </c>
      <c r="I30" s="153" t="inlineStr">
        <is>
          <t>4o</t>
        </is>
      </c>
      <c r="J30" s="154" t="inlineStr">
        <is>
          <t>DEPTO</t>
        </is>
      </c>
      <c r="K30" s="155" t="n">
        <v>19599</v>
      </c>
      <c r="M30" s="153" t="inlineStr">
        <is>
          <t>4o</t>
        </is>
      </c>
      <c r="N30" s="154" t="inlineStr">
        <is>
          <t>JORGE</t>
        </is>
      </c>
      <c r="O30" s="155" t="n">
        <v>88710</v>
      </c>
    </row>
    <row r="31" ht="16" customHeight="1">
      <c r="A31" s="141" t="inlineStr">
        <is>
          <t>5o</t>
        </is>
      </c>
      <c r="B31" s="142" t="inlineStr">
        <is>
          <t>V56</t>
        </is>
      </c>
      <c r="C31" s="143" t="n">
        <v>130775</v>
      </c>
      <c r="E31" s="144" t="inlineStr">
        <is>
          <t>5o</t>
        </is>
      </c>
      <c r="F31" s="145" t="inlineStr">
        <is>
          <t>V1</t>
        </is>
      </c>
      <c r="G31" s="146" t="n">
        <v>13188</v>
      </c>
      <c r="I31" s="147" t="inlineStr">
        <is>
          <t>5o</t>
        </is>
      </c>
      <c r="J31" s="148" t="inlineStr">
        <is>
          <t>EDGAR</t>
        </is>
      </c>
      <c r="K31" s="149" t="n">
        <v>16160</v>
      </c>
      <c r="M31" s="150" t="inlineStr">
        <is>
          <t>5o</t>
        </is>
      </c>
      <c r="N31" s="151" t="inlineStr">
        <is>
          <t>OFICINA</t>
        </is>
      </c>
      <c r="O31" s="152" t="n">
        <v>28000</v>
      </c>
    </row>
    <row r="36" ht="8" customHeight="1">
      <c r="A36" s="89" t="n"/>
      <c r="B36" s="89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</row>
    <row r="37" ht="22" customHeight="1">
      <c r="A37" s="113" t="inlineStr">
        <is>
          <t>TENDENCIA MENSUAL — EVOLUCIÓN POR MES</t>
        </is>
      </c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5" t="n"/>
    </row>
    <row r="38" ht="18" customHeight="1">
      <c r="A38" s="116" t="inlineStr">
        <is>
          <t>MES</t>
        </is>
      </c>
      <c r="B38" s="116" t="inlineStr">
        <is>
          <t>EFECTIVA ($)</t>
        </is>
      </c>
      <c r="C38" s="116" t="inlineStr">
        <is>
          <t>VENCIDA ($)</t>
        </is>
      </c>
      <c r="D38" s="116" t="inlineStr">
        <is>
          <t>RECUPERADA ($)</t>
        </is>
      </c>
      <c r="E38" s="116" t="inlineStr">
        <is>
          <t>TOTAL GRAL ($)</t>
        </is>
      </c>
    </row>
    <row r="39" ht="18" customHeight="1">
      <c r="A39" s="156" t="inlineStr">
        <is>
          <t>ENE 2026</t>
        </is>
      </c>
      <c r="B39" s="157" t="n">
        <v>1228968</v>
      </c>
      <c r="C39" s="157" t="n">
        <v>166220</v>
      </c>
      <c r="D39" s="157" t="n">
        <v>115277</v>
      </c>
      <c r="E39" s="157" t="n">
        <v>1408644</v>
      </c>
    </row>
    <row r="41" ht="16" customHeight="1">
      <c r="A41" s="158" t="inlineStr">
        <is>
          <t>Los datos de meses adicionales se integran automaticamente al cargar cada mes en la plantilla principal.</t>
        </is>
      </c>
    </row>
    <row r="43" ht="16" customHeight="1">
      <c r="A43" s="216" t="inlineStr">
        <is>
          <t>PROTEG-RT MUTUALIDAD  |  Gerencia de Cobranza  |  Reporte Mensual — Luna Dashboard</t>
        </is>
      </c>
    </row>
  </sheetData>
  <mergeCells count="40">
    <mergeCell ref="A25:C25"/>
    <mergeCell ref="D11:F11"/>
    <mergeCell ref="D13:F13"/>
    <mergeCell ref="G13:I13"/>
    <mergeCell ref="A24:N24"/>
    <mergeCell ref="C5:D5"/>
    <mergeCell ref="E5:F5"/>
    <mergeCell ref="M25:O25"/>
    <mergeCell ref="D7:F7"/>
    <mergeCell ref="A12:C12"/>
    <mergeCell ref="J11:L11"/>
    <mergeCell ref="A1:N1"/>
    <mergeCell ref="J7:L7"/>
    <mergeCell ref="A8:C8"/>
    <mergeCell ref="A16:N16"/>
    <mergeCell ref="D12:F12"/>
    <mergeCell ref="D9:F9"/>
    <mergeCell ref="A41:N41"/>
    <mergeCell ref="J12:L12"/>
    <mergeCell ref="D8:F8"/>
    <mergeCell ref="A37:N37"/>
    <mergeCell ref="E25:G25"/>
    <mergeCell ref="A3:N3"/>
    <mergeCell ref="A13:C13"/>
    <mergeCell ref="A2:N2"/>
    <mergeCell ref="A5:B5"/>
    <mergeCell ref="G5:H5"/>
    <mergeCell ref="A9:C9"/>
    <mergeCell ref="G9:I9"/>
    <mergeCell ref="J8:L8"/>
    <mergeCell ref="G12:I12"/>
    <mergeCell ref="G11:I11"/>
    <mergeCell ref="A11:C11"/>
    <mergeCell ref="J13:L13"/>
    <mergeCell ref="G8:I8"/>
    <mergeCell ref="A43:N43"/>
    <mergeCell ref="J9:L9"/>
    <mergeCell ref="A7:C7"/>
    <mergeCell ref="G7:I7"/>
    <mergeCell ref="I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35" customWidth="1" min="4" max="4"/>
    <col width="22" customWidth="1" min="5" max="5"/>
  </cols>
  <sheetData>
    <row r="1" ht="30" customHeight="1">
      <c r="A1" s="202" t="inlineStr">
        <is>
          <t>PROTEG-RT MUTUALIDAD</t>
        </is>
      </c>
    </row>
    <row r="2" ht="22" customHeight="1">
      <c r="A2" s="203" t="inlineStr">
        <is>
          <t>GUÍA DE KPIs — DICCIONARIO DE MÉTRICAS DE COBRANZA</t>
        </is>
      </c>
    </row>
    <row r="3" ht="18" customHeight="1">
      <c r="A3" s="204" t="inlineStr">
        <is>
          <t>AÑO 2026</t>
        </is>
      </c>
    </row>
    <row r="4" ht="8" customHeight="1">
      <c r="A4" s="89" t="n"/>
      <c r="B4" s="89" t="n"/>
      <c r="C4" s="89" t="n"/>
      <c r="D4" s="89" t="n"/>
      <c r="E4" s="89" t="n"/>
    </row>
    <row r="5" ht="40" customHeight="1">
      <c r="A5" s="205" t="inlineStr">
        <is>
          <t>Este documento describe cada KPI del Dashboard y Plantilla de Estadísticas. Sirve como guía para interpretar los datos y entender cómo se calcula cada métrica. Cada KPI corresponde a una sección del reporte mensual de cobranza.</t>
        </is>
      </c>
    </row>
    <row r="7" ht="20" customHeight="1">
      <c r="A7" s="206" t="inlineStr">
        <is>
          <t>MÉTRICA</t>
        </is>
      </c>
      <c r="B7" s="206" t="inlineStr">
        <is>
          <t>TOTAL ($) — ENE 2026</t>
        </is>
      </c>
      <c r="C7" s="206" t="inlineStr">
        <is>
          <t>DESCRIPCIÓN</t>
        </is>
      </c>
      <c r="D7" s="206" t="inlineStr">
        <is>
          <t>¿CÓMO SE INTERPRETA?</t>
        </is>
      </c>
      <c r="E7" s="206" t="inlineStr">
        <is>
          <t>FÓRMULA / FUENTE</t>
        </is>
      </c>
    </row>
    <row r="8" ht="50" customHeight="1">
      <c r="A8" s="207" t="inlineStr">
        <is>
          <t>COBRANZA TOTAL GENERAL</t>
        </is>
      </c>
      <c r="B8" s="208" t="inlineStr">
        <is>
          <t>$1,408,644</t>
        </is>
      </c>
      <c r="C8" s="209" t="inlineStr">
        <is>
          <t>Es el monto total de toda la facturación emitida en el mes. Incluye todos los contratos nuevos y renovaciones generados en el periodo.</t>
        </is>
      </c>
      <c r="D8" s="209" t="inlineStr">
        <is>
          <t>Representa el universo completo de facturación. Es el punto de partida para calcular todos los demás porcentajes de eficiencia.</t>
        </is>
      </c>
      <c r="E8" s="210">
        <f> Suma de TOTAL GENERAL (columna Z/AA del reporte). Se toma sin filtro de STATUS.</f>
        <v/>
      </c>
    </row>
    <row r="9" ht="50" customHeight="1">
      <c r="A9" s="211" t="inlineStr">
        <is>
          <t>COBRANZA RECUPERADA</t>
        </is>
      </c>
      <c r="B9" s="212" t="inlineStr">
        <is>
          <t>$115,277</t>
        </is>
      </c>
      <c r="C9" s="213" t="inlineStr">
        <is>
          <t>Son las cuentas que estavam vencidas (atrasadas de meses anteriores) y que en este mes lograron recuperase mediante pago.</t>
        </is>
      </c>
      <c r="D9" s="213" t="inlineStr">
        <is>
          <t>Un valor alto indica que se está haciendo buen trabajo de cobranza sobre cartera vieja. Meta: maximizar este indicador.</t>
        </is>
      </c>
      <c r="E9" s="214">
        <f> Suma de MONTO (columna AV) en apartado RECUPERADA, sin filtro STATUS. Top 5 agrupa por COBRADO (columna BA).</f>
        <v/>
      </c>
    </row>
    <row r="10" ht="50" customHeight="1">
      <c r="A10" s="207" t="inlineStr">
        <is>
          <t>COBRANZA EFECTIVA</t>
        </is>
      </c>
      <c r="B10" s="208" t="inlineStr">
        <is>
          <t>$1,228,968</t>
        </is>
      </c>
      <c r="C10" s="209" t="inlineStr">
        <is>
          <t>Es el monto cobrado durante el mes que corresponde a ventas del MISMO periodo de facturación (no incluye cartera vencida).</t>
        </is>
      </c>
      <c r="D10" s="209" t="inlineStr">
        <is>
          <t>Es el indicador principal de eficiencia de cobranza. Compara cuánto se cobró vs cuánto se emitió. Meta: &gt;75%.</t>
        </is>
      </c>
      <c r="E10" s="210">
        <f> Suma de MONTO (columna AK) en apartado EFECTIVA, sin filtro STATUS. Top 5 agrupa por COBRADO (columna AP).</f>
        <v/>
      </c>
    </row>
    <row r="11" ht="50" customHeight="1">
      <c r="A11" s="211" t="inlineStr">
        <is>
          <t>CANCELACIONES</t>
        </is>
      </c>
      <c r="B11" s="212" t="inlineStr">
        <is>
          <t>$127,110</t>
        </is>
      </c>
      <c r="C11" s="213" t="inlineStr">
        <is>
          <t>Son las pólizas que fueron canceladas durante el mes, ya sea por falta de pago o por decisión del cliente.</t>
        </is>
      </c>
      <c r="D11" s="213" t="inlineStr">
        <is>
          <t>Un valor alto puede indicar problemas en la calidad de la venta o en la gestión de cobranza preventiva. Revisar causa raíz.</t>
        </is>
      </c>
      <c r="E11" s="214">
        <f> Suma de MONTO en apartado CANCELACIONES, sin filtro STATUS. Top 5 agrupa por VENDEDOR (columna U/V).</f>
        <v/>
      </c>
    </row>
    <row r="12" ht="50" customHeight="1">
      <c r="A12" s="207" t="inlineStr">
        <is>
          <t>COBRANZA VENCIDA</t>
        </is>
      </c>
      <c r="B12" s="208" t="inlineStr">
        <is>
          <t>$166,220</t>
        </is>
      </c>
      <c r="C12" s="209" t="inlineStr">
        <is>
          <t>Son las cuentas que tenían atraso y NO se recuperaron en el mes. Representa la cartera vencida pendiente de cobro.</t>
        </is>
      </c>
      <c r="D12" s="209" t="inlineStr">
        <is>
          <t>Un valor bajo es bueno (significa que se está recuperando la cartera vencida). Un valor alto requiere acción inmediata.</t>
        </is>
      </c>
      <c r="E12" s="210">
        <f> Suma de MONTO en apartado VENCIDA/ATRASADA, sin filtro STATUS. Top 5 agrupa por UBICACIÓN_T (columna V).</f>
        <v/>
      </c>
    </row>
    <row r="13" ht="50" customHeight="1">
      <c r="A13" s="211" t="inlineStr">
        <is>
          <t>COBRANZA CORRIENTE</t>
        </is>
      </c>
      <c r="B13" s="212" t="inlineStr">
        <is>
          <t>$1,608,391</t>
        </is>
      </c>
      <c r="C13" s="213" t="inlineStr">
        <is>
          <t>Es el monto total de la cartera ACTUAL (vence en el mes actual). Es la base de la operación normal de cobranza.</t>
        </is>
      </c>
      <c r="D13" s="213" t="inlineStr">
        <is>
          <t>Es la referencia principal para evaluar el desempeño del equipo. Representa la facturación reciente pendiente de cobro.</t>
        </is>
      </c>
      <c r="E13" s="214">
        <f> Suma de MONTO (columna Z) en apartado CORRIENTE, sin filtro STATUS. Top 5 agrupa por VENDEDOR (columna U).</f>
        <v/>
      </c>
    </row>
    <row r="14" ht="50" customHeight="1">
      <c r="A14" s="207" t="inlineStr">
        <is>
          <t>COBRANZA ANTICIPADA</t>
        </is>
      </c>
      <c r="B14" s="208" t="inlineStr">
        <is>
          <t>$80,464</t>
        </is>
      </c>
      <c r="C14" s="209" t="inlineStr">
        <is>
          <t>Son pagos que el cliente realizó ANTES de la fecha de vencimiento. Indica buen comportamiento de pago.</t>
        </is>
      </c>
      <c r="D14" s="209" t="inlineStr">
        <is>
          <t>Un valor positivo es favorable: significa que hay clientes que pagan antes de tiempo, lo cual mejora el flujo de caja.</t>
        </is>
      </c>
      <c r="E14" s="210">
        <f> Suma de MONTO (columna BG) en apartado ADELANTADA FUTURA, sin filtro STATUS. Top 5 agrupa por COBRADO (columna BL).</f>
        <v/>
      </c>
    </row>
    <row r="15" ht="50" customHeight="1">
      <c r="A15" s="211" t="inlineStr">
        <is>
          <t>PROYECCIÓN (SIG. MES)</t>
        </is>
      </c>
      <c r="B15" s="212" t="inlineStr">
        <is>
          <t>$1,158,184</t>
        </is>
      </c>
      <c r="C15" s="213" t="inlineStr">
        <is>
          <t>Es la estimación de cuánto se cobrará en el MES SIGUIENTE basándose en la tendencia actual de cobranza efectiva.</t>
        </is>
      </c>
      <c r="D15" s="213" t="inlineStr">
        <is>
          <t>Se usa para planeación financiera y de operación. No es un compromiso de cobro, sino una referencia proyectada.</t>
        </is>
      </c>
      <c r="E15" s="214">
        <f> Calculado por el sistema con base en el promedio de cobranza efectiva de los últimos 3 meses.</f>
        <v/>
      </c>
    </row>
    <row r="17" ht="8" customHeight="1">
      <c r="A17" s="89" t="n"/>
      <c r="B17" s="89" t="n"/>
      <c r="C17" s="89" t="n"/>
      <c r="D17" s="89" t="n"/>
      <c r="E17" s="89" t="n"/>
    </row>
    <row r="18" ht="30" customHeight="1">
      <c r="A18" s="215" t="inlineStr">
        <is>
          <t>📌 Nota: Los valores en la columna 'TOTAL ($) — ENE 2026' son ejemplos del mes de referencia (Enero 2026). Al cargar datos de otros meses, los totales se actualizan automáticamente en la Plantilla Principal.</t>
        </is>
      </c>
    </row>
    <row r="20" ht="16" customHeight="1">
      <c r="A20" s="216" t="inlineStr">
        <is>
          <t>PROTEG-RT MUTUALIDAD  |  Gerencia de Cobranza  |  Guía de KPIs — Luna Dashboard</t>
        </is>
      </c>
    </row>
  </sheetData>
  <mergeCells count="6">
    <mergeCell ref="A20:E20"/>
    <mergeCell ref="A2:E2"/>
    <mergeCell ref="A5:E5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14"/>
  <sheetViews>
    <sheetView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34" t="inlineStr">
        <is>
          <t>CONCEPTO</t>
        </is>
      </c>
      <c r="B6" s="34" t="inlineStr">
        <is>
          <t>TOTAL ($)</t>
        </is>
      </c>
      <c r="C6" s="34" t="inlineStr">
        <is>
          <t>VENDEDOR / COBRADOR</t>
        </is>
      </c>
      <c r="D6" s="34" t="inlineStr">
        <is>
          <t>MONTO</t>
        </is>
      </c>
      <c r="E6" s="34" t="inlineStr">
        <is>
          <t>VENDEDOR / COBRADOR</t>
        </is>
      </c>
      <c r="F6" s="34" t="inlineStr">
        <is>
          <t>MONTO</t>
        </is>
      </c>
      <c r="G6" s="34" t="inlineStr">
        <is>
          <t>VENDEDOR / COBRADOR</t>
        </is>
      </c>
      <c r="H6" s="34" t="inlineStr">
        <is>
          <t>MONTO</t>
        </is>
      </c>
      <c r="I6" s="34" t="inlineStr">
        <is>
          <t>VENDEDOR / COBRADOR</t>
        </is>
      </c>
      <c r="J6" s="34" t="inlineStr">
        <is>
          <t>MONTO</t>
        </is>
      </c>
      <c r="K6" s="34" t="inlineStr">
        <is>
          <t>VENDEDOR / COBRADOR</t>
        </is>
      </c>
      <c r="L6" s="34" t="inlineStr">
        <is>
          <t>MONTO</t>
        </is>
      </c>
      <c r="M6" s="34" t="inlineStr">
        <is>
          <t>% ACUM.</t>
        </is>
      </c>
      <c r="N6" s="34" t="inlineStr">
        <is>
          <t>% ACUM. MENSUAL</t>
        </is>
      </c>
    </row>
    <row r="7">
      <c r="A7" s="35" t="inlineStr">
        <is>
          <t>DATOS GENERALES</t>
        </is>
      </c>
    </row>
    <row r="8">
      <c r="A8" s="8" t="inlineStr">
        <is>
          <t>Mes</t>
        </is>
      </c>
      <c r="B8" s="9" t="inlineStr">
        <is>
          <t>ENERO</t>
        </is>
      </c>
      <c r="E8" s="8" t="inlineStr">
        <is>
          <t>Año</t>
        </is>
      </c>
      <c r="F8" s="9" t="n">
        <v>2026</v>
      </c>
    </row>
    <row r="9">
      <c r="A9" s="8" t="inlineStr">
        <is>
          <t>Fecha de corte</t>
        </is>
      </c>
      <c r="B9" s="10" t="n"/>
      <c r="E9" s="8" t="inlineStr">
        <is>
          <t>Elaboró</t>
        </is>
      </c>
      <c r="F9" s="10" t="n"/>
    </row>
    <row r="10">
      <c r="A10" s="36" t="inlineStr">
        <is>
          <t>COBRANZA CORRIENTE</t>
        </is>
      </c>
      <c r="B10" s="37" t="n"/>
      <c r="C10" s="38" t="n"/>
      <c r="D10" s="38" t="n"/>
      <c r="E10" s="39" t="n"/>
      <c r="F10" s="37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6" customHeight="1">
      <c r="A11" s="40" t="inlineStr">
        <is>
          <t>Total</t>
        </is>
      </c>
      <c r="B11" s="260" t="n">
        <v>1608391</v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</row>
    <row r="12">
      <c r="A12" s="42" t="n"/>
      <c r="B12" s="43" t="inlineStr">
        <is>
          <t>Top 5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</row>
    <row r="13" ht="20" customHeight="1">
      <c r="A13" s="240" t="n"/>
      <c r="B13" s="45" t="n"/>
      <c r="C13" s="45" t="n"/>
      <c r="D13" s="45" t="n"/>
      <c r="E13" s="45" t="n"/>
      <c r="F13" s="45" t="n"/>
      <c r="G13" s="45" t="n"/>
      <c r="H13" s="46" t="n"/>
      <c r="I13" s="83" t="n"/>
      <c r="J13" s="83" t="n"/>
      <c r="K13" s="83" t="n"/>
      <c r="L13" s="83" t="n"/>
      <c r="M13" s="83" t="n"/>
      <c r="N13" s="83" t="n"/>
      <c r="O13" s="70" t="n"/>
      <c r="P13" s="70" t="n"/>
    </row>
    <row r="14" ht="18" customHeight="1">
      <c r="A14" s="241" t="n"/>
      <c r="B14" s="241" t="n"/>
      <c r="C14" s="242" t="n"/>
      <c r="D14" s="241" t="n"/>
      <c r="E14" s="242" t="n"/>
      <c r="F14" s="241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70" t="n"/>
      <c r="P14" s="70" t="n"/>
    </row>
    <row r="15" ht="18" customHeight="1">
      <c r="A15" s="124" t="n"/>
      <c r="B15" s="125" t="n"/>
      <c r="C15" s="242" t="n"/>
      <c r="D15" s="243" t="n"/>
      <c r="E15" s="242" t="n"/>
      <c r="F15" s="244" t="n"/>
      <c r="G15" s="242" t="n"/>
      <c r="H15" s="242" t="n"/>
      <c r="I15" s="242" t="n"/>
      <c r="J15" s="242" t="n"/>
      <c r="K15" s="242" t="n"/>
      <c r="L15" s="242" t="n"/>
      <c r="M15" s="245" t="n"/>
      <c r="N15" s="245" t="n"/>
      <c r="O15" s="70" t="n"/>
      <c r="P15" s="70" t="n"/>
    </row>
    <row r="16" ht="18" customHeight="1">
      <c r="A16" s="124" t="n"/>
      <c r="B16" s="125" t="n"/>
      <c r="C16" s="242" t="n"/>
      <c r="D16" s="246" t="n"/>
      <c r="E16" s="242" t="n"/>
      <c r="F16" s="247" t="n"/>
      <c r="G16" s="242" t="n"/>
      <c r="H16" s="242" t="n"/>
      <c r="I16" s="242" t="n"/>
      <c r="J16" s="242" t="n"/>
      <c r="K16" s="242" t="n"/>
      <c r="L16" s="242" t="n"/>
      <c r="M16" s="245" t="n"/>
      <c r="N16" s="245" t="n"/>
      <c r="O16" s="70" t="n"/>
      <c r="P16" s="70" t="n"/>
    </row>
    <row r="17" ht="18" customHeight="1">
      <c r="A17" s="124" t="n"/>
      <c r="B17" s="125" t="n"/>
      <c r="C17" s="242" t="n"/>
      <c r="D17" s="248" t="n"/>
      <c r="E17" s="242" t="n"/>
      <c r="F17" s="249" t="n"/>
      <c r="G17" s="242" t="n"/>
      <c r="H17" s="250" t="n"/>
      <c r="I17" s="242" t="n"/>
      <c r="J17" s="242" t="n"/>
      <c r="K17" s="242" t="n"/>
      <c r="L17" s="242" t="n"/>
      <c r="M17" s="245" t="n"/>
      <c r="N17" s="245" t="n"/>
      <c r="O17" s="70" t="n"/>
      <c r="P17" s="70" t="n"/>
    </row>
    <row r="18" ht="18" customHeight="1">
      <c r="A18" s="124" t="n"/>
      <c r="B18" s="125" t="n"/>
      <c r="C18" s="242" t="n"/>
      <c r="D18" s="251" t="n"/>
      <c r="E18" s="242" t="n"/>
      <c r="F18" s="252" t="n"/>
      <c r="G18" s="242" t="n"/>
      <c r="H18" s="242" t="n"/>
      <c r="I18" s="242" t="n"/>
      <c r="J18" s="250" t="n"/>
      <c r="K18" s="242" t="n"/>
      <c r="L18" s="242" t="n"/>
      <c r="M18" s="245" t="n"/>
      <c r="N18" s="245" t="n"/>
      <c r="O18" s="70" t="n"/>
      <c r="P18" s="70" t="n"/>
    </row>
    <row r="19" ht="18" customHeight="1">
      <c r="A19" s="124" t="n"/>
      <c r="B19" s="125" t="n"/>
      <c r="C19" s="242" t="n"/>
      <c r="D19" s="253" t="n"/>
      <c r="E19" s="242" t="n"/>
      <c r="F19" s="254" t="n"/>
      <c r="G19" s="45" t="n"/>
      <c r="H19" s="46" t="n"/>
      <c r="I19" s="242" t="n"/>
      <c r="J19" s="242" t="n"/>
      <c r="K19" s="242" t="n"/>
      <c r="L19" s="250" t="n"/>
      <c r="M19" s="245" t="n"/>
      <c r="N19" s="245" t="n"/>
      <c r="O19" s="70" t="n"/>
      <c r="P19" s="70" t="n"/>
    </row>
    <row r="20" ht="20" customHeight="1">
      <c r="A20" s="255" t="n"/>
      <c r="B20" s="256" t="n"/>
      <c r="C20" s="257" t="n"/>
      <c r="D20" s="258" t="n"/>
      <c r="E20" s="257" t="n"/>
      <c r="F20" s="259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70" t="n"/>
      <c r="P20" s="70" t="n"/>
    </row>
    <row r="21">
      <c r="A21" s="84" t="inlineStr">
        <is>
          <t>Top 5</t>
        </is>
      </c>
      <c r="B21" s="160" t="n"/>
      <c r="C21" s="160" t="n"/>
      <c r="D21" s="160" t="n"/>
      <c r="E21" s="160" t="n"/>
      <c r="F21" s="160" t="n"/>
      <c r="G21" s="160" t="n"/>
      <c r="H21" s="160" t="n"/>
      <c r="I21" s="160" t="n"/>
      <c r="J21" s="160" t="n"/>
      <c r="K21" s="160" t="n"/>
      <c r="L21" s="160" t="n"/>
      <c r="M21" s="160" t="n"/>
      <c r="N21" s="161" t="n"/>
    </row>
    <row r="22" ht="18" customHeight="1">
      <c r="A22" s="72" t="inlineStr">
        <is>
          <t>1er lugar</t>
        </is>
      </c>
      <c r="B22" s="73" t="n"/>
      <c r="C22" s="74" t="inlineStr">
        <is>
          <t>V6</t>
        </is>
      </c>
      <c r="D22" s="75" t="n">
        <v>356324</v>
      </c>
      <c r="E22" s="38" t="n"/>
      <c r="F22" s="38" t="n"/>
      <c r="G22" s="38" t="n"/>
      <c r="H22" s="38" t="n"/>
      <c r="I22" s="38" t="n"/>
      <c r="J22" s="38" t="n"/>
      <c r="K22" s="38" t="n"/>
      <c r="L22" s="38" t="n"/>
      <c r="M22" s="76" t="n">
        <v>0.2215</v>
      </c>
      <c r="N22" s="77" t="n">
        <v>0.2215</v>
      </c>
    </row>
    <row r="23" ht="18" customHeight="1">
      <c r="A23" s="40" t="inlineStr">
        <is>
          <t>2o lugar</t>
        </is>
      </c>
      <c r="B23" s="46" t="n"/>
      <c r="C23" s="48" t="n"/>
      <c r="D23" s="48" t="n"/>
      <c r="E23" s="78" t="inlineStr">
        <is>
          <t>V1</t>
        </is>
      </c>
      <c r="F23" s="79" t="n">
        <v>297307</v>
      </c>
      <c r="G23" s="48" t="n"/>
      <c r="H23" s="48" t="n"/>
      <c r="I23" s="48" t="n"/>
      <c r="J23" s="48" t="n"/>
      <c r="K23" s="48" t="n"/>
      <c r="L23" s="48" t="n"/>
      <c r="M23" s="80" t="n">
        <v>0.1848</v>
      </c>
      <c r="N23" s="81" t="n">
        <v>0.4064</v>
      </c>
    </row>
    <row r="24" ht="18" customHeight="1">
      <c r="A24" s="72" t="inlineStr">
        <is>
          <t>3er lugar</t>
        </is>
      </c>
      <c r="B24" s="48" t="n"/>
      <c r="C24" s="48" t="n"/>
      <c r="D24" s="62" t="n"/>
      <c r="E24" s="48" t="n"/>
      <c r="F24" s="48" t="n"/>
      <c r="G24" s="74" t="inlineStr">
        <is>
          <t>V38</t>
        </is>
      </c>
      <c r="H24" s="75" t="n">
        <v>241116</v>
      </c>
      <c r="I24" s="48" t="n"/>
      <c r="J24" s="48" t="n"/>
      <c r="K24" s="48" t="n"/>
      <c r="L24" s="48" t="n"/>
      <c r="M24" s="76" t="n">
        <v>0.1499</v>
      </c>
      <c r="N24" s="77" t="n">
        <v>0.5563</v>
      </c>
    </row>
    <row r="25" ht="18" customHeight="1">
      <c r="A25" s="40" t="inlineStr">
        <is>
          <t>4o lugar</t>
        </is>
      </c>
      <c r="B25" s="48" t="n"/>
      <c r="C25" s="48" t="n"/>
      <c r="D25" s="48" t="n"/>
      <c r="E25" s="48" t="n"/>
      <c r="F25" s="62" t="n"/>
      <c r="G25" s="48" t="n"/>
      <c r="H25" s="48" t="n"/>
      <c r="I25" s="78" t="inlineStr">
        <is>
          <t>V39</t>
        </is>
      </c>
      <c r="J25" s="79" t="n">
        <v>176093</v>
      </c>
      <c r="K25" s="48" t="n"/>
      <c r="L25" s="48" t="n"/>
      <c r="M25" s="80" t="n">
        <v>0.1095</v>
      </c>
      <c r="N25" s="81" t="n">
        <v>0.6657999999999999</v>
      </c>
    </row>
    <row r="26" ht="18" customHeight="1">
      <c r="A26" s="72" t="inlineStr">
        <is>
          <t>5o lugar</t>
        </is>
      </c>
      <c r="B26" s="48" t="n"/>
      <c r="C26" s="48" t="n"/>
      <c r="D26" s="48" t="n"/>
      <c r="E26" s="48" t="n"/>
      <c r="F26" s="48" t="n"/>
      <c r="G26" s="48" t="n"/>
      <c r="H26" s="62" t="n"/>
      <c r="I26" s="48" t="n"/>
      <c r="J26" s="48" t="n"/>
      <c r="K26" s="74" t="inlineStr">
        <is>
          <t>V56</t>
        </is>
      </c>
      <c r="L26" s="75" t="n">
        <v>130775</v>
      </c>
      <c r="M26" s="76" t="n">
        <v>0.0813</v>
      </c>
      <c r="N26" s="77" t="n">
        <v>0.7471</v>
      </c>
    </row>
    <row r="27" ht="18" customHeight="1">
      <c r="A27" s="85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62" t="n"/>
      <c r="K27" s="48" t="n"/>
      <c r="L27" s="48" t="n"/>
      <c r="M27" s="53" t="n"/>
      <c r="N27" s="53" t="n"/>
    </row>
    <row r="28" ht="18" customHeight="1">
      <c r="A28" s="85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62" t="n"/>
      <c r="M28" s="53" t="n"/>
      <c r="N28" s="53" t="n"/>
    </row>
    <row r="29" ht="6" customHeight="1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</row>
    <row r="30">
      <c r="A30" s="42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6" t="n"/>
    </row>
    <row r="31" ht="20" customHeight="1">
      <c r="A31" s="8" t="inlineStr">
        <is>
          <t>Total</t>
        </is>
      </c>
      <c r="B31" s="261" t="n">
        <v>166220</v>
      </c>
    </row>
    <row r="32" ht="18" customHeight="1">
      <c r="A32" s="12" t="inlineStr">
        <is>
          <t>Top 5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1er lugar</t>
        </is>
      </c>
      <c r="B33" s="15" t="n"/>
      <c r="C33" s="15" t="inlineStr">
        <is>
          <t>V39</t>
        </is>
      </c>
      <c r="D33" s="30" t="n">
        <v>32232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31" t="n">
        <v>0.1939116833112742</v>
      </c>
      <c r="N33" s="31" t="n">
        <v>0.1939116833112742</v>
      </c>
    </row>
    <row r="34" ht="18" customHeight="1">
      <c r="A34" s="14" t="inlineStr">
        <is>
          <t>2o lugar</t>
        </is>
      </c>
      <c r="B34" s="15" t="n"/>
      <c r="C34" s="15" t="n"/>
      <c r="D34" s="15" t="n"/>
      <c r="E34" s="15" t="inlineStr">
        <is>
          <t>FRANCISCO</t>
        </is>
      </c>
      <c r="F34" s="30" t="n">
        <v>24988</v>
      </c>
      <c r="G34" s="15" t="n"/>
      <c r="H34" s="15" t="n"/>
      <c r="I34" s="15" t="n"/>
      <c r="J34" s="15" t="n"/>
      <c r="K34" s="15" t="n"/>
      <c r="L34" s="15" t="n"/>
      <c r="M34" s="31" t="n">
        <v>0.1503308867765612</v>
      </c>
      <c r="N34" s="31" t="n">
        <v>0.3442425700878354</v>
      </c>
    </row>
    <row r="35" ht="18" customHeight="1">
      <c r="A35" s="14" t="inlineStr">
        <is>
          <t>3er lugar</t>
        </is>
      </c>
      <c r="B35" s="15" t="n"/>
      <c r="C35" s="15" t="n"/>
      <c r="D35" s="15" t="n"/>
      <c r="E35" s="15" t="n"/>
      <c r="F35" s="15" t="n"/>
      <c r="G35" s="15" t="inlineStr">
        <is>
          <t>JORGE</t>
        </is>
      </c>
      <c r="H35" s="30" t="n">
        <v>23648</v>
      </c>
      <c r="I35" s="15" t="n"/>
      <c r="J35" s="15" t="n"/>
      <c r="K35" s="15" t="n"/>
      <c r="L35" s="15" t="n"/>
      <c r="M35" s="31" t="n">
        <v>0.1422692816748887</v>
      </c>
      <c r="N35" s="31" t="n">
        <v>0.4865118517627241</v>
      </c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inlineStr">
        <is>
          <t>DEPOSITO</t>
        </is>
      </c>
      <c r="J36" s="30" t="n">
        <v>19599</v>
      </c>
      <c r="K36" s="15" t="n"/>
      <c r="L36" s="15" t="n"/>
      <c r="M36" s="31" t="n">
        <v>0.1179099987967754</v>
      </c>
      <c r="N36" s="31" t="n">
        <v>0.6044218505594995</v>
      </c>
    </row>
    <row r="37" ht="18" customHeight="1">
      <c r="A37" s="14" t="inlineStr">
        <is>
          <t>5o lugar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inlineStr">
        <is>
          <t>EDGAR</t>
        </is>
      </c>
      <c r="L37" s="30" t="n">
        <v>16160</v>
      </c>
      <c r="M37" s="31" t="n">
        <v>0.09722055107688606</v>
      </c>
      <c r="N37" s="31" t="n">
        <v>0.7016424016363855</v>
      </c>
    </row>
    <row r="38" ht="6" customHeight="1"/>
    <row r="39">
      <c r="A39" s="35" t="inlineStr">
        <is>
          <t>COBRANZA EFECTIVA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16" t="inlineStr">
        <is>
          <t>Total</t>
        </is>
      </c>
      <c r="B40" s="262" t="n">
        <v>1228968</v>
      </c>
    </row>
    <row r="41" ht="18" customHeight="1">
      <c r="A41" s="12" t="inlineStr">
        <is>
          <t>Top 5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1er lugar</t>
        </is>
      </c>
      <c r="B42" s="15" t="n"/>
      <c r="C42" s="15" t="inlineStr">
        <is>
          <t>EDGAR</t>
        </is>
      </c>
      <c r="D42" s="30" t="n">
        <v>212099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31" t="n">
        <v>0.1725830127391437</v>
      </c>
      <c r="N42" s="31" t="n">
        <v>0.1725830127391437</v>
      </c>
    </row>
    <row r="43" ht="18" customHeight="1">
      <c r="A43" s="14" t="inlineStr">
        <is>
          <t>2o lugar</t>
        </is>
      </c>
      <c r="B43" s="15" t="n"/>
      <c r="C43" s="15" t="n"/>
      <c r="D43" s="15" t="n"/>
      <c r="E43" s="15" t="inlineStr">
        <is>
          <t>V6</t>
        </is>
      </c>
      <c r="F43" s="30" t="n">
        <v>142162</v>
      </c>
      <c r="G43" s="15" t="n"/>
      <c r="H43" s="15" t="n"/>
      <c r="I43" s="15" t="n"/>
      <c r="J43" s="15" t="n"/>
      <c r="K43" s="15" t="n"/>
      <c r="L43" s="15" t="n"/>
      <c r="M43" s="31" t="n">
        <v>0.1156759167040965</v>
      </c>
      <c r="N43" s="31" t="n">
        <v>0.2882589294432402</v>
      </c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inlineStr">
        <is>
          <t>JORGE</t>
        </is>
      </c>
      <c r="H44" s="30" t="n">
        <v>138268</v>
      </c>
      <c r="I44" s="15" t="n"/>
      <c r="J44" s="15" t="n"/>
      <c r="K44" s="15" t="n"/>
      <c r="L44" s="15" t="n"/>
      <c r="M44" s="31" t="n">
        <v>0.1125074045866125</v>
      </c>
      <c r="N44" s="31" t="n">
        <v>0.4007663340298527</v>
      </c>
    </row>
    <row r="45" ht="18" customHeight="1">
      <c r="A45" s="14" t="inlineStr">
        <is>
          <t>4o lugar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inlineStr">
        <is>
          <t>DEPOSITO</t>
        </is>
      </c>
      <c r="J45" s="30" t="n">
        <v>122198</v>
      </c>
      <c r="K45" s="15" t="n"/>
      <c r="L45" s="15" t="n"/>
      <c r="M45" s="31" t="n">
        <v>0.09943139284342635</v>
      </c>
      <c r="N45" s="31" t="n">
        <v>0.500197726873279</v>
      </c>
    </row>
    <row r="46" ht="18" customHeight="1">
      <c r="A46" s="14" t="inlineStr">
        <is>
          <t>5o lugar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inlineStr">
        <is>
          <t>FRANCISCO</t>
        </is>
      </c>
      <c r="L46" s="30" t="n">
        <v>117694</v>
      </c>
      <c r="M46" s="31" t="n">
        <v>0.09576652931565346</v>
      </c>
      <c r="N46" s="31" t="n">
        <v>0.5959642561889325</v>
      </c>
    </row>
    <row r="47" ht="6" customHeight="1"/>
    <row r="48">
      <c r="A48" s="35" t="inlineStr">
        <is>
          <t>COBRANZA RECUPERADA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</row>
    <row r="49" ht="20" customHeight="1">
      <c r="A49" s="8" t="inlineStr">
        <is>
          <t>Total</t>
        </is>
      </c>
      <c r="B49" s="261" t="n">
        <v>115277</v>
      </c>
    </row>
    <row r="50" ht="18" customHeight="1">
      <c r="A50" s="12" t="inlineStr">
        <is>
          <t>Top 5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1er lugar</t>
        </is>
      </c>
      <c r="B51" s="15" t="n"/>
      <c r="C51" s="15" t="inlineStr">
        <is>
          <t>JORGE</t>
        </is>
      </c>
      <c r="D51" s="30" t="n">
        <v>28228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31" t="n">
        <v>0.2448710497323837</v>
      </c>
      <c r="N51" s="31" t="n">
        <v>0.2448710497323837</v>
      </c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inlineStr">
        <is>
          <t>V4</t>
        </is>
      </c>
      <c r="F52" s="30" t="n">
        <v>15999</v>
      </c>
      <c r="G52" s="15" t="n"/>
      <c r="H52" s="15" t="n"/>
      <c r="I52" s="15" t="n"/>
      <c r="J52" s="15" t="n"/>
      <c r="K52" s="15" t="n"/>
      <c r="L52" s="15" t="n"/>
      <c r="M52" s="31" t="n">
        <v>0.1387874424212983</v>
      </c>
      <c r="N52" s="31" t="n">
        <v>0.383658492153682</v>
      </c>
    </row>
    <row r="53" ht="18" customHeight="1">
      <c r="A53" s="14" t="inlineStr">
        <is>
          <t>3er lugar</t>
        </is>
      </c>
      <c r="B53" s="15" t="n"/>
      <c r="C53" s="15" t="n"/>
      <c r="D53" s="15" t="n"/>
      <c r="E53" s="15" t="n"/>
      <c r="F53" s="15" t="n"/>
      <c r="G53" s="15" t="inlineStr">
        <is>
          <t>FRANCISCO</t>
        </is>
      </c>
      <c r="H53" s="30" t="n">
        <v>14928</v>
      </c>
      <c r="I53" s="15" t="n"/>
      <c r="J53" s="15" t="n"/>
      <c r="K53" s="15" t="n"/>
      <c r="L53" s="15" t="n"/>
      <c r="M53" s="31" t="n">
        <v>0.1294967773276543</v>
      </c>
      <c r="N53" s="31" t="n">
        <v>0.5131552694813363</v>
      </c>
    </row>
    <row r="54" ht="18" customHeight="1">
      <c r="A54" s="14" t="inlineStr">
        <is>
          <t>4o lugar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inlineStr">
        <is>
          <t>V39</t>
        </is>
      </c>
      <c r="J54" s="30" t="n">
        <v>13452</v>
      </c>
      <c r="K54" s="15" t="n"/>
      <c r="L54" s="15" t="n"/>
      <c r="M54" s="31" t="n">
        <v>0.1166928355179264</v>
      </c>
      <c r="N54" s="31" t="n">
        <v>0.6298481049992627</v>
      </c>
    </row>
    <row r="55" ht="18" customHeight="1">
      <c r="A55" s="14" t="inlineStr">
        <is>
          <t>5o lugar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inlineStr">
        <is>
          <t>EDUARDO</t>
        </is>
      </c>
      <c r="L55" s="30" t="n">
        <v>11551</v>
      </c>
      <c r="M55" s="31" t="n">
        <v>0.1002021218456414</v>
      </c>
      <c r="N55" s="31" t="n">
        <v>0.7300502268449041</v>
      </c>
    </row>
    <row r="56" ht="6" customHeight="1"/>
    <row r="57">
      <c r="A57" s="35" t="inlineStr">
        <is>
          <t>COBRANZA TOTAL GENERAL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</row>
    <row r="58" ht="20" customHeight="1">
      <c r="A58" s="16" t="inlineStr">
        <is>
          <t>Total</t>
        </is>
      </c>
      <c r="B58" s="262" t="n">
        <v>1408644</v>
      </c>
    </row>
    <row r="59" ht="18" customHeight="1">
      <c r="A59" s="12" t="inlineStr">
        <is>
          <t>Top 5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inlineStr">
        <is>
          <t>EDGAR</t>
        </is>
      </c>
      <c r="D60" s="30" t="n">
        <v>227673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31" t="n">
        <v>0.1616256484960004</v>
      </c>
      <c r="N60" s="31" t="n">
        <v>0.1616256484960004</v>
      </c>
    </row>
    <row r="61" ht="18" customHeight="1">
      <c r="A61" s="14" t="inlineStr">
        <is>
          <t>2o lugar</t>
        </is>
      </c>
      <c r="B61" s="15" t="n"/>
      <c r="C61" s="15" t="n"/>
      <c r="D61" s="15" t="n"/>
      <c r="E61" s="15" t="inlineStr">
        <is>
          <t>JORGE</t>
        </is>
      </c>
      <c r="F61" s="30" t="n">
        <v>170311</v>
      </c>
      <c r="G61" s="15" t="n"/>
      <c r="H61" s="15" t="n"/>
      <c r="I61" s="15" t="n"/>
      <c r="J61" s="15" t="n"/>
      <c r="K61" s="15" t="n"/>
      <c r="L61" s="15" t="n"/>
      <c r="M61" s="31" t="n">
        <v>0.1209042171052445</v>
      </c>
      <c r="N61" s="31" t="n">
        <v>0.2825298656012449</v>
      </c>
    </row>
    <row r="62" ht="18" customHeight="1">
      <c r="A62" s="14" t="inlineStr">
        <is>
          <t>3er lugar</t>
        </is>
      </c>
      <c r="B62" s="15" t="n"/>
      <c r="C62" s="15" t="n"/>
      <c r="D62" s="15" t="n"/>
      <c r="E62" s="15" t="n"/>
      <c r="F62" s="15" t="n"/>
      <c r="G62" s="15" t="inlineStr">
        <is>
          <t>V6</t>
        </is>
      </c>
      <c r="H62" s="30" t="n">
        <v>153967</v>
      </c>
      <c r="I62" s="15" t="n"/>
      <c r="J62" s="15" t="n"/>
      <c r="K62" s="15" t="n"/>
      <c r="L62" s="15" t="n"/>
      <c r="M62" s="31" t="n">
        <v>0.1093015694526083</v>
      </c>
      <c r="N62" s="31" t="n">
        <v>0.3918314350538532</v>
      </c>
    </row>
    <row r="63" ht="18" customHeight="1">
      <c r="A63" s="14" t="inlineStr">
        <is>
          <t>4o lugar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inlineStr">
        <is>
          <t>DEPOSITO</t>
        </is>
      </c>
      <c r="J63" s="30" t="n">
        <v>141219</v>
      </c>
      <c r="K63" s="15" t="n"/>
      <c r="L63" s="15" t="n"/>
      <c r="M63" s="31" t="n">
        <v>0.1002517314523755</v>
      </c>
      <c r="N63" s="31" t="n">
        <v>0.4920831665062287</v>
      </c>
    </row>
    <row r="64" ht="18" customHeight="1">
      <c r="A64" s="14" t="inlineStr">
        <is>
          <t>5o lugar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inlineStr">
        <is>
          <t>FRANCISCO</t>
        </is>
      </c>
      <c r="L64" s="30" t="n">
        <v>134949</v>
      </c>
      <c r="M64" s="31" t="n">
        <v>0.09580064231984803</v>
      </c>
      <c r="N64" s="31" t="n">
        <v>0.5878838088260767</v>
      </c>
    </row>
    <row r="65" ht="6" customHeight="1"/>
    <row r="66">
      <c r="A66" s="35" t="inlineStr">
        <is>
          <t>COBRANZA ADELANTADA F.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</row>
    <row r="67" ht="20" customHeight="1">
      <c r="A67" s="8" t="inlineStr">
        <is>
          <t>Total</t>
        </is>
      </c>
      <c r="B67" s="261" t="n">
        <v>8618</v>
      </c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inlineStr">
        <is>
          <t>DEPOSITO</t>
        </is>
      </c>
      <c r="D69" s="30" t="n">
        <v>6604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31" t="n">
        <v>0.7663030865630076</v>
      </c>
      <c r="N69" s="31" t="n">
        <v>0.7663030865630076</v>
      </c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inlineStr">
        <is>
          <t>JORGE</t>
        </is>
      </c>
      <c r="F70" s="30" t="n">
        <v>784</v>
      </c>
      <c r="G70" s="15" t="n"/>
      <c r="H70" s="15" t="n"/>
      <c r="I70" s="15" t="n"/>
      <c r="J70" s="15" t="n"/>
      <c r="K70" s="15" t="n"/>
      <c r="L70" s="15" t="n"/>
      <c r="M70" s="31" t="n">
        <v>0.09097238338361568</v>
      </c>
      <c r="N70" s="31" t="n">
        <v>0.8572754699466233</v>
      </c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inlineStr">
        <is>
          <t>EDUARDO</t>
        </is>
      </c>
      <c r="H71" s="30" t="n">
        <v>645</v>
      </c>
      <c r="I71" s="15" t="n"/>
      <c r="J71" s="15" t="n"/>
      <c r="K71" s="15" t="n"/>
      <c r="L71" s="15" t="n"/>
      <c r="M71" s="31" t="n">
        <v>0.07484335112555117</v>
      </c>
      <c r="N71" s="31" t="n">
        <v>0.9321188210721745</v>
      </c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inlineStr">
        <is>
          <t>FRANCISCO</t>
        </is>
      </c>
      <c r="J72" s="30" t="n">
        <v>585</v>
      </c>
      <c r="K72" s="15" t="n"/>
      <c r="L72" s="15" t="n"/>
      <c r="M72" s="31" t="n">
        <v>0.06788117892782548</v>
      </c>
      <c r="N72" s="31" t="n">
        <v>1</v>
      </c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82" t="inlineStr">
        <is>
          <t>PROYECCION ENERO  FEBRERO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</row>
    <row r="76">
      <c r="A76" s="19" t="inlineStr">
        <is>
          <t>Proyeccion FEBRERO</t>
        </is>
      </c>
      <c r="B76" s="263" t="n">
        <v>1158184</v>
      </c>
    </row>
    <row r="78" ht="14" customHeight="1"/>
    <row r="79" ht="22" customHeight="1">
      <c r="A79" s="4" t="inlineStr">
        <is>
          <t>FEBRERO 2026</t>
        </is>
      </c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35" t="inlineStr">
        <is>
          <t>DATOS GENERALES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35" t="inlineStr">
        <is>
          <t>COBRANZA CORRIENTE</t>
        </is>
      </c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</row>
    <row r="87" ht="20" customHeight="1">
      <c r="A87" s="8" t="inlineStr">
        <is>
          <t>Total</t>
        </is>
      </c>
      <c r="B87" s="11" t="n"/>
    </row>
    <row r="88" ht="18" customHeight="1">
      <c r="A88" s="12" t="inlineStr">
        <is>
          <t>Top 5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 ht="18" customHeight="1">
      <c r="A89" s="14" t="inlineStr">
        <is>
          <t>1er lugar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 ht="18" customHeight="1">
      <c r="A90" s="14" t="inlineStr">
        <is>
          <t>2o lugar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 ht="18" customHeight="1">
      <c r="A91" s="14" t="inlineStr">
        <is>
          <t>3er lugar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8" customHeight="1">
      <c r="A92" s="14" t="inlineStr">
        <is>
          <t>4o lugar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8" customHeight="1">
      <c r="A93" s="14" t="inlineStr">
        <is>
          <t>5o lugar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6" customHeight="1"/>
    <row r="95">
      <c r="A95" s="35" t="inlineStr">
        <is>
          <t>CANCELACIONES</t>
        </is>
      </c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</row>
    <row r="96" ht="20" customHeight="1">
      <c r="A96" s="16" t="inlineStr">
        <is>
          <t>Total</t>
        </is>
      </c>
      <c r="B96" s="17" t="n"/>
    </row>
    <row r="97" ht="18" customHeight="1">
      <c r="A97" s="12" t="inlineStr">
        <is>
          <t>Top 5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</row>
    <row r="98" ht="18" customHeight="1">
      <c r="A98" s="14" t="inlineStr">
        <is>
          <t>1er lugar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 ht="18" customHeight="1">
      <c r="A99" s="14" t="inlineStr">
        <is>
          <t>2o lugar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 ht="18" customHeight="1">
      <c r="A100" s="14" t="inlineStr">
        <is>
          <t>3er lugar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 ht="18" customHeight="1">
      <c r="A101" s="14" t="inlineStr">
        <is>
          <t>4o lugar</t>
        </is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 ht="18" customHeight="1">
      <c r="A102" s="14" t="inlineStr">
        <is>
          <t>5o lugar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 ht="6" customHeight="1"/>
    <row r="104">
      <c r="A104" s="35" t="inlineStr">
        <is>
          <t>COBRANZA VENCIDA</t>
        </is>
      </c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</row>
    <row r="105" ht="20" customHeight="1">
      <c r="A105" s="8" t="inlineStr">
        <is>
          <t>Total</t>
        </is>
      </c>
      <c r="B105" s="11" t="n"/>
    </row>
    <row r="106" ht="18" customHeight="1">
      <c r="A106" s="12" t="inlineStr">
        <is>
          <t>Top 5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 ht="18" customHeight="1">
      <c r="A107" s="14" t="inlineStr">
        <is>
          <t>1er lugar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 ht="18" customHeight="1">
      <c r="A108" s="14" t="inlineStr">
        <is>
          <t>2o lugar</t>
        </is>
      </c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 ht="18" customHeight="1">
      <c r="A109" s="14" t="inlineStr">
        <is>
          <t>3er lugar</t>
        </is>
      </c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 ht="18" customHeight="1">
      <c r="A110" s="14" t="inlineStr">
        <is>
          <t>4o lugar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 ht="18" customHeight="1">
      <c r="A111" s="14" t="inlineStr">
        <is>
          <t>5o lugar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 ht="6" customHeight="1"/>
    <row r="113">
      <c r="A113" s="35" t="inlineStr">
        <is>
          <t>COBRANZA EFECTIVA</t>
        </is>
      </c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</row>
    <row r="114" ht="20" customHeight="1">
      <c r="A114" s="16" t="inlineStr">
        <is>
          <t>Total</t>
        </is>
      </c>
      <c r="B114" s="17" t="n"/>
    </row>
    <row r="115" ht="18" customHeight="1">
      <c r="A115" s="12" t="inlineStr">
        <is>
          <t>Top 5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</row>
    <row r="116" ht="18" customHeight="1">
      <c r="A116" s="14" t="inlineStr">
        <is>
          <t>1er lugar</t>
        </is>
      </c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 ht="18" customHeight="1">
      <c r="A117" s="14" t="inlineStr">
        <is>
          <t>2o lugar</t>
        </is>
      </c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 ht="18" customHeight="1">
      <c r="A118" s="14" t="inlineStr">
        <is>
          <t>3er lugar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 ht="18" customHeight="1">
      <c r="A119" s="14" t="inlineStr">
        <is>
          <t>4o lugar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  <row r="120" ht="18" customHeight="1">
      <c r="A120" s="14" t="inlineStr">
        <is>
          <t>5o lugar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</row>
    <row r="121" ht="6" customHeight="1"/>
    <row r="122">
      <c r="A122" s="35" t="inlineStr">
        <is>
          <t>COBRANZA RECUPERADA</t>
        </is>
      </c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</row>
    <row r="123" ht="20" customHeight="1">
      <c r="A123" s="8" t="inlineStr">
        <is>
          <t>Total</t>
        </is>
      </c>
      <c r="B123" s="11" t="n"/>
    </row>
    <row r="124" ht="18" customHeight="1">
      <c r="A124" s="12" t="inlineStr">
        <is>
          <t>Top 5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 ht="18" customHeight="1">
      <c r="A125" s="14" t="inlineStr">
        <is>
          <t>1er lugar</t>
        </is>
      </c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</row>
    <row r="126" ht="18" customHeight="1">
      <c r="A126" s="14" t="inlineStr">
        <is>
          <t>2o lugar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</row>
    <row r="127" ht="18" customHeight="1">
      <c r="A127" s="14" t="inlineStr">
        <is>
          <t>3er lugar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</row>
    <row r="128" ht="18" customHeight="1">
      <c r="A128" s="14" t="inlineStr">
        <is>
          <t>4o lugar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</row>
    <row r="129" ht="18" customHeight="1">
      <c r="A129" s="14" t="inlineStr">
        <is>
          <t>5o lugar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</row>
    <row r="130" ht="6" customHeight="1"/>
    <row r="131">
      <c r="A131" s="35" t="inlineStr">
        <is>
          <t>COBRANZA TOTAL GENERAL</t>
        </is>
      </c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</row>
    <row r="132" ht="20" customHeight="1">
      <c r="A132" s="16" t="inlineStr">
        <is>
          <t>Total</t>
        </is>
      </c>
      <c r="B132" s="17" t="n"/>
    </row>
    <row r="133" ht="18" customHeight="1">
      <c r="A133" s="12" t="inlineStr">
        <is>
          <t>Top 5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 ht="18" customHeight="1">
      <c r="A134" s="14" t="inlineStr">
        <is>
          <t>1er lugar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</row>
    <row r="135" ht="18" customHeight="1">
      <c r="A135" s="14" t="inlineStr">
        <is>
          <t>2o lugar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</row>
    <row r="136" ht="18" customHeight="1">
      <c r="A136" s="14" t="inlineStr">
        <is>
          <t>3er lugar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</row>
    <row r="137" ht="18" customHeight="1">
      <c r="A137" s="14" t="inlineStr">
        <is>
          <t>4o lugar</t>
        </is>
      </c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</row>
    <row r="138" ht="18" customHeight="1">
      <c r="A138" s="14" t="inlineStr">
        <is>
          <t>5o lugar</t>
        </is>
      </c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</row>
    <row r="139" ht="6" customHeight="1"/>
    <row r="140">
      <c r="A140" s="35" t="inlineStr">
        <is>
          <t>COBRANZA ADELANTADA F.</t>
        </is>
      </c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</row>
    <row r="141" ht="20" customHeight="1">
      <c r="A141" s="8" t="inlineStr">
        <is>
          <t>Total</t>
        </is>
      </c>
      <c r="B141" s="11" t="n"/>
    </row>
    <row r="142" ht="18" customHeight="1">
      <c r="A142" s="12" t="inlineStr">
        <is>
          <t>Top 5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 ht="18" customHeight="1">
      <c r="A143" s="14" t="inlineStr">
        <is>
          <t>1er lugar</t>
        </is>
      </c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</row>
    <row r="144" ht="18" customHeight="1">
      <c r="A144" s="14" t="inlineStr">
        <is>
          <t>2o lugar</t>
        </is>
      </c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</row>
    <row r="145" ht="18" customHeight="1">
      <c r="A145" s="14" t="inlineStr">
        <is>
          <t>3er lugar</t>
        </is>
      </c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</row>
    <row r="146" ht="18" customHeight="1">
      <c r="A146" s="14" t="inlineStr">
        <is>
          <t>4o lugar</t>
        </is>
      </c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</row>
    <row r="147" ht="18" customHeight="1">
      <c r="A147" s="14" t="inlineStr">
        <is>
          <t>5o lugar</t>
        </is>
      </c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</row>
    <row r="148" ht="6" customHeight="1"/>
    <row r="149">
      <c r="A149" s="82" t="inlineStr">
        <is>
          <t>PROYECCIÓN FEBRERO → FEBRERO</t>
        </is>
      </c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</row>
    <row r="150">
      <c r="A150" s="19" t="inlineStr">
        <is>
          <t>Proyección FEBRERO</t>
        </is>
      </c>
      <c r="B150" s="20" t="n"/>
    </row>
    <row r="152" ht="14" customHeight="1"/>
    <row r="153" ht="22" customHeight="1">
      <c r="A153" s="4" t="inlineStr">
        <is>
          <t>MARZO 2026</t>
        </is>
      </c>
    </row>
    <row r="154" ht="28" customHeight="1">
      <c r="A154" s="5" t="inlineStr">
        <is>
          <t>CONCEPTO</t>
        </is>
      </c>
      <c r="B154" s="5" t="inlineStr">
        <is>
          <t>TOTAL ($)</t>
        </is>
      </c>
      <c r="C154" s="5" t="inlineStr">
        <is>
          <t>TOP 1</t>
        </is>
      </c>
      <c r="D154" s="5" t="inlineStr">
        <is>
          <t>TOP 2</t>
        </is>
      </c>
      <c r="E154" s="5" t="inlineStr">
        <is>
          <t>TOP 3</t>
        </is>
      </c>
      <c r="F154" s="5" t="inlineStr">
        <is>
          <t>TOP 4</t>
        </is>
      </c>
      <c r="G154" s="5" t="inlineStr">
        <is>
          <t>TOP 5</t>
        </is>
      </c>
      <c r="H154" s="5" t="inlineStr">
        <is>
          <t>% TOP 1</t>
        </is>
      </c>
      <c r="I154" s="5" t="inlineStr">
        <is>
          <t>% TOP 2</t>
        </is>
      </c>
      <c r="J154" s="5" t="inlineStr">
        <is>
          <t>% TOP 3</t>
        </is>
      </c>
      <c r="K154" s="5" t="inlineStr">
        <is>
          <t>% TOP 4</t>
        </is>
      </c>
      <c r="L154" s="5" t="inlineStr">
        <is>
          <t>% TOP 5</t>
        </is>
      </c>
      <c r="M154" s="5" t="inlineStr">
        <is>
          <t>% ACUM.</t>
        </is>
      </c>
    </row>
    <row r="155">
      <c r="A155" s="35" t="inlineStr">
        <is>
          <t>DATOS GENERALES</t>
        </is>
      </c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</row>
    <row r="156">
      <c r="A156" s="8" t="inlineStr">
        <is>
          <t>Mes</t>
        </is>
      </c>
      <c r="B156" s="9" t="inlineStr">
        <is>
          <t>MARZO</t>
        </is>
      </c>
      <c r="E156" s="8" t="inlineStr">
        <is>
          <t>Año</t>
        </is>
      </c>
      <c r="F156" s="9" t="inlineStr">
        <is>
          <t>2026</t>
        </is>
      </c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35" t="inlineStr">
        <is>
          <t>COBRANZA CORRIENTE</t>
        </is>
      </c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35" t="inlineStr">
        <is>
          <t>CANCELACIONES</t>
        </is>
      </c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35" t="inlineStr">
        <is>
          <t>COBRANZA VENCIDA</t>
        </is>
      </c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35" t="inlineStr">
        <is>
          <t>COBRANZA EFECTIVA</t>
        </is>
      </c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35" t="inlineStr">
        <is>
          <t>COBRANZA RECUPERADA</t>
        </is>
      </c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35" t="inlineStr">
        <is>
          <t>COBRANZA TOTAL GENERAL</t>
        </is>
      </c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35" t="inlineStr">
        <is>
          <t>COBRANZA ADELANTADA F.</t>
        </is>
      </c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82" t="inlineStr">
        <is>
          <t>PROYECCIÓN MARZO → MARZO</t>
        </is>
      </c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35" t="inlineStr">
        <is>
          <t>DATOS GENERALES</t>
        </is>
      </c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35" t="inlineStr">
        <is>
          <t>COBRANZA CORRIENTE</t>
        </is>
      </c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35" t="inlineStr">
        <is>
          <t>CANCELACIONES</t>
        </is>
      </c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35" t="inlineStr">
        <is>
          <t>COBRANZA VENCIDA</t>
        </is>
      </c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35" t="inlineStr">
        <is>
          <t>COBRANZA EFECTIVA</t>
        </is>
      </c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35" t="inlineStr">
        <is>
          <t>COBRANZA RECUPERADA</t>
        </is>
      </c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35" t="inlineStr">
        <is>
          <t>COBRANZA TOTAL GENERAL</t>
        </is>
      </c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35" t="inlineStr">
        <is>
          <t>COBRANZA ADELANTADA F.</t>
        </is>
      </c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82" t="inlineStr">
        <is>
          <t>PROYECCIÓN ABRIL → ABRIL</t>
        </is>
      </c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35" t="inlineStr">
        <is>
          <t>DATOS GENERALES</t>
        </is>
      </c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35" t="inlineStr">
        <is>
          <t>COBRANZA CORRIENTE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35" t="inlineStr">
        <is>
          <t>CANCELACIONES</t>
        </is>
      </c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35" t="inlineStr">
        <is>
          <t>COBRANZA VENCIDA</t>
        </is>
      </c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35" t="inlineStr">
        <is>
          <t>COBRANZA EFECTIVA</t>
        </is>
      </c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35" t="inlineStr">
        <is>
          <t>COBRANZA RECUPERADA</t>
        </is>
      </c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35" t="inlineStr">
        <is>
          <t>COBRANZA TOTAL GENERAL</t>
        </is>
      </c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35" t="inlineStr">
        <is>
          <t>COBRANZA ADELANTADA F.</t>
        </is>
      </c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82" t="inlineStr">
        <is>
          <t>PROYECCIÓN MAYO → MAYO</t>
        </is>
      </c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35" t="inlineStr">
        <is>
          <t>DATOS GENERALES</t>
        </is>
      </c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35" t="inlineStr">
        <is>
          <t>COBRANZA CORRIENTE</t>
        </is>
      </c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35" t="inlineStr">
        <is>
          <t>CANCELACIONES</t>
        </is>
      </c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35" t="inlineStr">
        <is>
          <t>COBRANZA VENCIDA</t>
        </is>
      </c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35" t="inlineStr">
        <is>
          <t>COBRANZA EFECTIVA</t>
        </is>
      </c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35" t="inlineStr">
        <is>
          <t>COBRANZA RECUPERADA</t>
        </is>
      </c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35" t="inlineStr">
        <is>
          <t>COBRANZA TOTAL GENERAL</t>
        </is>
      </c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35" t="inlineStr">
        <is>
          <t>COBRANZA ADELANTADA F.</t>
        </is>
      </c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82" t="inlineStr">
        <is>
          <t>PROYECCIÓN JUNIO → JUNIO</t>
        </is>
      </c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35" t="inlineStr">
        <is>
          <t>DATOS GENERALES</t>
        </is>
      </c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35" t="inlineStr">
        <is>
          <t>COBRANZA CORRIENTE</t>
        </is>
      </c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35" t="inlineStr">
        <is>
          <t>CANCELACIONES</t>
        </is>
      </c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35" t="inlineStr">
        <is>
          <t>COBRANZA VENCIDA</t>
        </is>
      </c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35" t="inlineStr">
        <is>
          <t>COBRANZA EFECTIVA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35" t="inlineStr">
        <is>
          <t>COBRANZA RECUPERADA</t>
        </is>
      </c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35" t="inlineStr">
        <is>
          <t>COBRANZA TOTAL GENERAL</t>
        </is>
      </c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35" t="inlineStr">
        <is>
          <t>COBRANZA ADELANTADA F.</t>
        </is>
      </c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82" t="inlineStr">
        <is>
          <t>PROYECCIÓN JULIO → JULIO</t>
        </is>
      </c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35" t="inlineStr">
        <is>
          <t>DATOS GENERALES</t>
        </is>
      </c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35" t="inlineStr">
        <is>
          <t>COBRANZA CORRIENTE</t>
        </is>
      </c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35" t="inlineStr">
        <is>
          <t>CANCELACIONES</t>
        </is>
      </c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35" t="inlineStr">
        <is>
          <t>COBRANZA VENCIDA</t>
        </is>
      </c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35" t="inlineStr">
        <is>
          <t>COBRANZA EFECTIVA</t>
        </is>
      </c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35" t="inlineStr">
        <is>
          <t>COBRANZA RECUPERADA</t>
        </is>
      </c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35" t="inlineStr">
        <is>
          <t>COBRANZA TOTAL GENERAL</t>
        </is>
      </c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35" t="inlineStr">
        <is>
          <t>COBRANZA ADELANTADA F.</t>
        </is>
      </c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82" t="inlineStr">
        <is>
          <t>PROYECCIÓN AGOSTO → AGOSTO</t>
        </is>
      </c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35" t="inlineStr">
        <is>
          <t>DATOS GENERALES</t>
        </is>
      </c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35" t="inlineStr">
        <is>
          <t>COBRANZA CORRIENTE</t>
        </is>
      </c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35" t="inlineStr">
        <is>
          <t>CANCELACIONES</t>
        </is>
      </c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35" t="inlineStr">
        <is>
          <t>COBRANZA VENCIDA</t>
        </is>
      </c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35" t="inlineStr">
        <is>
          <t>COBRANZA EFECTIVA</t>
        </is>
      </c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35" t="inlineStr">
        <is>
          <t>COBRANZA RECUPERADA</t>
        </is>
      </c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35" t="inlineStr">
        <is>
          <t>COBRANZA TOTAL GENERAL</t>
        </is>
      </c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35" t="inlineStr">
        <is>
          <t>COBRANZA ADELANTADA F.</t>
        </is>
      </c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82" t="inlineStr">
        <is>
          <t>PROYECCIÓN SEPTIEMBRE → SEPTIEMBRE</t>
        </is>
      </c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35" t="inlineStr">
        <is>
          <t>DATOS GENERALES</t>
        </is>
      </c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35" t="inlineStr">
        <is>
          <t>COBRANZA CORRIENTE</t>
        </is>
      </c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35" t="inlineStr">
        <is>
          <t>CANCELACIONES</t>
        </is>
      </c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35" t="inlineStr">
        <is>
          <t>COBRANZA VENCIDA</t>
        </is>
      </c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35" t="inlineStr">
        <is>
          <t>COBRANZA EFECTIVA</t>
        </is>
      </c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35" t="inlineStr">
        <is>
          <t>COBRANZA RECUPERADA</t>
        </is>
      </c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35" t="inlineStr">
        <is>
          <t>COBRANZA TOTAL GENERAL</t>
        </is>
      </c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35" t="inlineStr">
        <is>
          <t>COBRANZA ADELANTADA F.</t>
        </is>
      </c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82" t="inlineStr">
        <is>
          <t>PROYECCIÓN OCTUBRE → OCTUBRE</t>
        </is>
      </c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35" t="inlineStr">
        <is>
          <t>DATOS GENERALES</t>
        </is>
      </c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35" t="inlineStr">
        <is>
          <t>COBRANZA CORRIENTE</t>
        </is>
      </c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35" t="inlineStr">
        <is>
          <t>CANCELACIONES</t>
        </is>
      </c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35" t="inlineStr">
        <is>
          <t>COBRANZA VENCIDA</t>
        </is>
      </c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35" t="inlineStr">
        <is>
          <t>COBRANZA EFECTIVA</t>
        </is>
      </c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35" t="inlineStr">
        <is>
          <t>COBRANZA RECUPERADA</t>
        </is>
      </c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35" t="inlineStr">
        <is>
          <t>COBRANZA TOTAL GENERAL</t>
        </is>
      </c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35" t="inlineStr">
        <is>
          <t>COBRANZA ADELANTADA F.</t>
        </is>
      </c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82" t="inlineStr">
        <is>
          <t>PROYECCIÓN NOVIEMBRE → NOVIEMBRE</t>
        </is>
      </c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35" t="inlineStr">
        <is>
          <t>DATOS GENERALES</t>
        </is>
      </c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35" t="inlineStr">
        <is>
          <t>COBRANZA CORRIENTE</t>
        </is>
      </c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35" t="inlineStr">
        <is>
          <t>CANCELACIONES</t>
        </is>
      </c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35" t="inlineStr">
        <is>
          <t>COBRANZA VENCIDA</t>
        </is>
      </c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35" t="inlineStr">
        <is>
          <t>COBRANZA EFECTIVA</t>
        </is>
      </c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35" t="inlineStr">
        <is>
          <t>COBRANZA RECUPERADA</t>
        </is>
      </c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35" t="inlineStr">
        <is>
          <t>COBRANZA TOTAL GENERAL</t>
        </is>
      </c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35" t="inlineStr">
        <is>
          <t>COBRANZA ADELANTADA F.</t>
        </is>
      </c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82" t="inlineStr">
        <is>
          <t>PROYECCIÓN DICIEMBRE → DICIEMBRE</t>
        </is>
      </c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58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584:N584"/>
    <mergeCell ref="A400:N400"/>
    <mergeCell ref="A59:B59"/>
    <mergeCell ref="B224:F224"/>
    <mergeCell ref="A261:N261"/>
    <mergeCell ref="A142:B142"/>
    <mergeCell ref="A747:N747"/>
    <mergeCell ref="A270:N270"/>
    <mergeCell ref="A599:N599"/>
    <mergeCell ref="A912:N912"/>
    <mergeCell ref="A216:B216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586:B586"/>
    <mergeCell ref="A640:N640"/>
    <mergeCell ref="A745:N745"/>
    <mergeCell ref="B520:F520"/>
    <mergeCell ref="A21:N21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2026-05-21T19:14:01Z</dcterms:modified>
</cp:coreProperties>
</file>