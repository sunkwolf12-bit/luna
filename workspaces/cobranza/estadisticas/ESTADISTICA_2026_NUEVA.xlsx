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2026" sheetId="1" state="visible" r:id="rId1"/>
    <sheet xmlns:r="http://schemas.openxmlformats.org/officeDocument/2006/relationships" name="GUÍA KPI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1F3C6E"/>
      <sz val="11"/>
    </font>
    <font>
      <b val="1"/>
      <sz val="11"/>
    </font>
    <font>
      <b val="1"/>
      <color rgb="001F3C6E"/>
      <sz val="10"/>
    </font>
    <font>
      <sz val="10"/>
    </font>
    <font>
      <b val="1"/>
      <color rgb="00FFFFFF"/>
      <sz val="11"/>
    </font>
    <font>
      <b val="1"/>
      <sz val="12"/>
    </font>
    <font>
      <b val="1"/>
      <color rgb="001F3C6E"/>
      <sz val="12"/>
    </font>
    <font>
      <i val="1"/>
      <color rgb="00888888"/>
      <sz val="10"/>
    </font>
    <font>
      <b val="1"/>
      <color rgb="001F3C6E"/>
      <sz val="16"/>
    </font>
    <font>
      <b val="1"/>
      <color rgb="001F3C6E"/>
      <sz val="14"/>
    </font>
    <font>
      <b val="1"/>
      <color rgb="00FFFFFF"/>
      <sz val="12"/>
    </font>
    <font>
      <color rgb="00666666"/>
      <sz val="9"/>
    </font>
    <font>
      <b val="1"/>
      <sz val="10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C6E"/>
        <bgColor rgb="001F3C6E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1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13" fillId="2" borderId="0" pivotButton="0" quotePrefix="0" xfId="0"/>
    <xf numFmtId="0" fontId="2" fillId="2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center"/>
    </xf>
    <xf numFmtId="0" fontId="14" fillId="0" borderId="0" pivotButton="0" quotePrefix="0" xfId="0"/>
    <xf numFmtId="0" fontId="15" fillId="3" borderId="1" pivotButton="0" quotePrefix="0" xfId="0"/>
    <xf numFmtId="164" fontId="15" fillId="3" borderId="1" applyAlignment="1" pivotButton="0" quotePrefix="0" xfId="0">
      <alignment horizontal="right"/>
    </xf>
    <xf numFmtId="166" fontId="15" fillId="3" borderId="1" applyAlignment="1" pivotButton="0" quotePrefix="0" xfId="0">
      <alignment horizontal="center"/>
    </xf>
    <xf numFmtId="0" fontId="14" fillId="3" borderId="0" pivotButton="0" quotePrefix="0" xfId="0"/>
    <xf numFmtId="0" fontId="7" fillId="2" borderId="0" pivotButton="0" quotePrefix="0" xfId="0"/>
    <xf numFmtId="0" fontId="16" fillId="2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ANUAL DE COBRANZA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'DASHBOARD'!$A$35:$A$46</f>
            </numRef>
          </cat>
          <val>
            <numRef>
              <f>'DASHBOARD'!$B$35:$B$46</f>
            </numRef>
          </val>
        </ser>
        <ser>
          <idx val="1"/>
          <order val="1"/>
          <tx>
            <strRef>
              <f>'DASHBOARD'!C34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'DASHBOARD'!$A$35:$A$46</f>
            </numRef>
          </cat>
          <val>
            <numRef>
              <f>'DASHBOARD'!$C$35:$C$46</f>
            </numRef>
          </val>
        </ser>
        <ser>
          <idx val="2"/>
          <order val="2"/>
          <tx>
            <strRef>
              <f>'DASHBOARD'!D34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'DASHBOARD'!$A$35:$A$46</f>
            </numRef>
          </cat>
          <val>
            <numRef>
              <f>'DASHBOARD'!$D$35:$D$46</f>
            </numRef>
          </val>
        </ser>
        <ser>
          <idx val="3"/>
          <order val="3"/>
          <tx>
            <strRef>
              <f>'DASHBOARD'!E34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'DASHBOARD'!$A$35:$A$46</f>
            </numRef>
          </cat>
          <val>
            <numRef>
              <f>'DASHBOARD'!$E$35:$E$46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ENERO 2026</t>
        </is>
      </c>
    </row>
    <row r="2">
      <c r="A2" s="2" t="inlineStr">
        <is>
          <t>CONCEPTO</t>
        </is>
      </c>
      <c r="B2" s="2" t="inlineStr">
        <is>
          <t>TOTAL ($)</t>
        </is>
      </c>
      <c r="C2" s="2" t="inlineStr">
        <is>
          <t>1er lugar</t>
        </is>
      </c>
      <c r="D2" s="2" t="inlineStr">
        <is>
          <t>Monto</t>
        </is>
      </c>
      <c r="E2" s="2" t="inlineStr">
        <is>
          <t>2o lugar</t>
        </is>
      </c>
      <c r="F2" s="2" t="inlineStr">
        <is>
          <t>Monto</t>
        </is>
      </c>
      <c r="G2" s="2" t="inlineStr">
        <is>
          <t>3er lugar</t>
        </is>
      </c>
      <c r="H2" s="2" t="inlineStr">
        <is>
          <t>Monto</t>
        </is>
      </c>
      <c r="I2" s="2" t="inlineStr">
        <is>
          <t>4o lugar</t>
        </is>
      </c>
      <c r="J2" s="2" t="inlineStr">
        <is>
          <t>Monto</t>
        </is>
      </c>
      <c r="K2" s="2" t="inlineStr">
        <is>
          <t>5o lugar</t>
        </is>
      </c>
      <c r="L2" s="2" t="inlineStr">
        <is>
          <t>Monto</t>
        </is>
      </c>
    </row>
    <row r="3">
      <c r="A3" s="3" t="inlineStr">
        <is>
          <t>CORRIENTE</t>
        </is>
      </c>
      <c r="B3" s="4" t="n">
        <v>1608391</v>
      </c>
    </row>
    <row r="4">
      <c r="A4" s="5" t="inlineStr">
        <is>
          <t>Top 5</t>
        </is>
      </c>
    </row>
    <row r="5">
      <c r="A5" s="6" t="inlineStr">
        <is>
          <t>1er lugar</t>
        </is>
      </c>
    </row>
    <row r="6">
      <c r="A6" s="6" t="inlineStr">
        <is>
          <t>2o lugar</t>
        </is>
      </c>
    </row>
    <row r="7">
      <c r="A7" s="6" t="inlineStr">
        <is>
          <t>3er lugar</t>
        </is>
      </c>
    </row>
    <row r="8">
      <c r="A8" s="6" t="inlineStr">
        <is>
          <t>4o lugar</t>
        </is>
      </c>
    </row>
    <row r="9">
      <c r="A9" s="6" t="inlineStr">
        <is>
          <t>5o lugar</t>
        </is>
      </c>
    </row>
    <row r="10">
      <c r="A10" s="3" t="inlineStr">
        <is>
          <t>CANCEL</t>
        </is>
      </c>
      <c r="B10" s="4" t="n">
        <v>127110</v>
      </c>
    </row>
    <row r="11">
      <c r="A11" s="5" t="inlineStr">
        <is>
          <t>Top 5</t>
        </is>
      </c>
    </row>
    <row r="12">
      <c r="A12" s="6" t="inlineStr">
        <is>
          <t>1er lugar</t>
        </is>
      </c>
    </row>
    <row r="13">
      <c r="A13" s="6" t="inlineStr">
        <is>
          <t>2o lugar</t>
        </is>
      </c>
    </row>
    <row r="14">
      <c r="A14" s="6" t="inlineStr">
        <is>
          <t>3er lugar</t>
        </is>
      </c>
    </row>
    <row r="15">
      <c r="A15" s="6" t="inlineStr">
        <is>
          <t>4o lugar</t>
        </is>
      </c>
    </row>
    <row r="16">
      <c r="A16" s="6" t="inlineStr">
        <is>
          <t>5o lugar</t>
        </is>
      </c>
    </row>
    <row r="17">
      <c r="A17" s="3" t="inlineStr">
        <is>
          <t>VENCIDA</t>
        </is>
      </c>
      <c r="B17" s="4" t="n">
        <v>166220</v>
      </c>
    </row>
    <row r="18">
      <c r="A18" s="5" t="inlineStr">
        <is>
          <t>Top 5</t>
        </is>
      </c>
    </row>
    <row r="19">
      <c r="A19" s="6" t="inlineStr">
        <is>
          <t>1er lugar</t>
        </is>
      </c>
    </row>
    <row r="20">
      <c r="A20" s="6" t="inlineStr">
        <is>
          <t>2o lugar</t>
        </is>
      </c>
    </row>
    <row r="21">
      <c r="A21" s="6" t="inlineStr">
        <is>
          <t>3er lugar</t>
        </is>
      </c>
    </row>
    <row r="22">
      <c r="A22" s="6" t="inlineStr">
        <is>
          <t>4o lugar</t>
        </is>
      </c>
    </row>
    <row r="23">
      <c r="A23" s="6" t="inlineStr">
        <is>
          <t>5o lugar</t>
        </is>
      </c>
    </row>
    <row r="24">
      <c r="A24" s="3" t="inlineStr">
        <is>
          <t>EFECTIVA</t>
        </is>
      </c>
      <c r="B24" s="4" t="n">
        <v>1228968</v>
      </c>
    </row>
    <row r="25">
      <c r="A25" s="5" t="inlineStr">
        <is>
          <t>Top 5</t>
        </is>
      </c>
    </row>
    <row r="26">
      <c r="A26" s="6" t="inlineStr">
        <is>
          <t>1er lugar</t>
        </is>
      </c>
    </row>
    <row r="27">
      <c r="A27" s="6" t="inlineStr">
        <is>
          <t>2o lugar</t>
        </is>
      </c>
    </row>
    <row r="28">
      <c r="A28" s="6" t="inlineStr">
        <is>
          <t>3er lugar</t>
        </is>
      </c>
    </row>
    <row r="29">
      <c r="A29" s="6" t="inlineStr">
        <is>
          <t>4o lugar</t>
        </is>
      </c>
    </row>
    <row r="30">
      <c r="A30" s="6" t="inlineStr">
        <is>
          <t>5o lugar</t>
        </is>
      </c>
    </row>
    <row r="31">
      <c r="A31" s="3" t="inlineStr">
        <is>
          <t>RECUPERADA</t>
        </is>
      </c>
      <c r="B31" s="4" t="n">
        <v>115277</v>
      </c>
    </row>
    <row r="32">
      <c r="A32" s="5" t="inlineStr">
        <is>
          <t>Top 5</t>
        </is>
      </c>
    </row>
    <row r="33">
      <c r="A33" s="6" t="inlineStr">
        <is>
          <t>1er lugar</t>
        </is>
      </c>
    </row>
    <row r="34">
      <c r="A34" s="6" t="inlineStr">
        <is>
          <t>2o lugar</t>
        </is>
      </c>
    </row>
    <row r="35">
      <c r="A35" s="6" t="inlineStr">
        <is>
          <t>3er lugar</t>
        </is>
      </c>
    </row>
    <row r="36">
      <c r="A36" s="6" t="inlineStr">
        <is>
          <t>4o lugar</t>
        </is>
      </c>
    </row>
    <row r="37">
      <c r="A37" s="6" t="inlineStr">
        <is>
          <t>5o lugar</t>
        </is>
      </c>
    </row>
    <row r="38">
      <c r="A38" s="3" t="inlineStr">
        <is>
          <t>TOTAL GRAL</t>
        </is>
      </c>
      <c r="B38" s="4" t="n">
        <v>1408644</v>
      </c>
    </row>
    <row r="39">
      <c r="A39" s="5" t="inlineStr">
        <is>
          <t>Top 5</t>
        </is>
      </c>
    </row>
    <row r="40">
      <c r="A40" s="6" t="inlineStr">
        <is>
          <t>1er lugar</t>
        </is>
      </c>
    </row>
    <row r="41">
      <c r="A41" s="6" t="inlineStr">
        <is>
          <t>2o lugar</t>
        </is>
      </c>
    </row>
    <row r="42">
      <c r="A42" s="6" t="inlineStr">
        <is>
          <t>3er lugar</t>
        </is>
      </c>
    </row>
    <row r="43">
      <c r="A43" s="6" t="inlineStr">
        <is>
          <t>4o lugar</t>
        </is>
      </c>
    </row>
    <row r="44">
      <c r="A44" s="6" t="inlineStr">
        <is>
          <t>5o lugar</t>
        </is>
      </c>
    </row>
    <row r="45">
      <c r="A45" s="3" t="inlineStr">
        <is>
          <t>ADELANTADA</t>
        </is>
      </c>
      <c r="B45" s="4" t="n">
        <v>8618</v>
      </c>
    </row>
    <row r="46">
      <c r="A46" s="5" t="inlineStr">
        <is>
          <t>Top 5</t>
        </is>
      </c>
    </row>
    <row r="47">
      <c r="A47" s="6" t="inlineStr">
        <is>
          <t>1er lugar</t>
        </is>
      </c>
    </row>
    <row r="48">
      <c r="A48" s="6" t="inlineStr">
        <is>
          <t>2o lugar</t>
        </is>
      </c>
    </row>
    <row r="49">
      <c r="A49" s="6" t="inlineStr">
        <is>
          <t>3er lugar</t>
        </is>
      </c>
    </row>
    <row r="50">
      <c r="A50" s="6" t="inlineStr">
        <is>
          <t>4o lugar</t>
        </is>
      </c>
    </row>
    <row r="51">
      <c r="A51" s="6" t="inlineStr">
        <is>
          <t>5o lugar</t>
        </is>
      </c>
    </row>
    <row r="54">
      <c r="A54" s="1" t="inlineStr">
        <is>
          <t>FEBRERO 2026</t>
        </is>
      </c>
    </row>
    <row r="55">
      <c r="A55" s="2" t="inlineStr">
        <is>
          <t>CONCEPTO</t>
        </is>
      </c>
      <c r="B55" s="2" t="inlineStr">
        <is>
          <t>TOTAL ($)</t>
        </is>
      </c>
      <c r="C55" s="2" t="inlineStr">
        <is>
          <t>1er lugar</t>
        </is>
      </c>
      <c r="D55" s="2" t="inlineStr">
        <is>
          <t>Monto</t>
        </is>
      </c>
      <c r="E55" s="2" t="inlineStr">
        <is>
          <t>2o lugar</t>
        </is>
      </c>
      <c r="F55" s="2" t="inlineStr">
        <is>
          <t>Monto</t>
        </is>
      </c>
      <c r="G55" s="2" t="inlineStr">
        <is>
          <t>3er lugar</t>
        </is>
      </c>
      <c r="H55" s="2" t="inlineStr">
        <is>
          <t>Monto</t>
        </is>
      </c>
      <c r="I55" s="2" t="inlineStr">
        <is>
          <t>4o lugar</t>
        </is>
      </c>
      <c r="J55" s="2" t="inlineStr">
        <is>
          <t>Monto</t>
        </is>
      </c>
      <c r="K55" s="2" t="inlineStr">
        <is>
          <t>5o lugar</t>
        </is>
      </c>
      <c r="L55" s="2" t="inlineStr">
        <is>
          <t>Monto</t>
        </is>
      </c>
    </row>
    <row r="56">
      <c r="A56" s="3" t="inlineStr">
        <is>
          <t>CORRIENTE</t>
        </is>
      </c>
      <c r="B56" s="4" t="n">
        <v>1251614</v>
      </c>
    </row>
    <row r="57">
      <c r="A57" s="5" t="inlineStr">
        <is>
          <t>Top 5</t>
        </is>
      </c>
    </row>
    <row r="58">
      <c r="A58" s="6" t="inlineStr">
        <is>
          <t>1er lugar</t>
        </is>
      </c>
      <c r="B58" s="7" t="n">
        <v>207793</v>
      </c>
      <c r="C58" t="inlineStr">
        <is>
          <t>V1</t>
        </is>
      </c>
    </row>
    <row r="59">
      <c r="A59" s="6" t="inlineStr">
        <is>
          <t>2o lugar</t>
        </is>
      </c>
      <c r="D59" s="7" t="n">
        <v>198234</v>
      </c>
      <c r="E59" t="inlineStr">
        <is>
          <t>V6</t>
        </is>
      </c>
    </row>
    <row r="60">
      <c r="A60" s="6" t="inlineStr">
        <is>
          <t>3er lugar</t>
        </is>
      </c>
      <c r="F60" s="7" t="n">
        <v>156891</v>
      </c>
      <c r="G60" t="inlineStr">
        <is>
          <t>V39</t>
        </is>
      </c>
    </row>
    <row r="61">
      <c r="A61" s="6" t="inlineStr">
        <is>
          <t>4o lugar</t>
        </is>
      </c>
      <c r="H61" s="7" t="n">
        <v>142567</v>
      </c>
      <c r="I61" t="inlineStr">
        <is>
          <t>V38</t>
        </is>
      </c>
    </row>
    <row r="62">
      <c r="A62" s="6" t="inlineStr">
        <is>
          <t>5o lugar</t>
        </is>
      </c>
      <c r="J62" s="7" t="n">
        <v>98765</v>
      </c>
      <c r="K62" t="inlineStr">
        <is>
          <t>V27</t>
        </is>
      </c>
    </row>
    <row r="63">
      <c r="A63" s="3" t="inlineStr">
        <is>
          <t>CANCEL</t>
        </is>
      </c>
      <c r="B63" s="4" t="n">
        <v>127110</v>
      </c>
    </row>
    <row r="64">
      <c r="A64" s="5" t="inlineStr">
        <is>
          <t>Top 5</t>
        </is>
      </c>
    </row>
    <row r="65">
      <c r="A65" s="6" t="inlineStr">
        <is>
          <t>1er lugar</t>
        </is>
      </c>
      <c r="B65" s="7" t="n">
        <v>21035</v>
      </c>
      <c r="C65" t="inlineStr">
        <is>
          <t>V38</t>
        </is>
      </c>
    </row>
    <row r="66">
      <c r="A66" s="6" t="inlineStr">
        <is>
          <t>2o lugar</t>
        </is>
      </c>
      <c r="D66" s="7" t="n">
        <v>17664</v>
      </c>
      <c r="E66" t="inlineStr">
        <is>
          <t>V56</t>
        </is>
      </c>
    </row>
    <row r="67">
      <c r="A67" s="6" t="inlineStr">
        <is>
          <t>3er lugar</t>
        </is>
      </c>
      <c r="F67" s="7" t="n">
        <v>15924</v>
      </c>
      <c r="G67" t="inlineStr">
        <is>
          <t>V6</t>
        </is>
      </c>
    </row>
    <row r="68">
      <c r="A68" s="6" t="inlineStr">
        <is>
          <t>4o lugar</t>
        </is>
      </c>
      <c r="H68" s="7" t="n">
        <v>14374</v>
      </c>
      <c r="I68" t="inlineStr">
        <is>
          <t>V84</t>
        </is>
      </c>
    </row>
    <row r="69">
      <c r="A69" s="6" t="inlineStr">
        <is>
          <t>5o lugar</t>
        </is>
      </c>
      <c r="J69" s="7" t="n">
        <v>12431</v>
      </c>
      <c r="K69" t="inlineStr">
        <is>
          <t>V39</t>
        </is>
      </c>
    </row>
    <row r="70">
      <c r="A70" s="3" t="inlineStr">
        <is>
          <t>VENCIDA</t>
        </is>
      </c>
      <c r="B70" s="4" t="n">
        <v>251487.31</v>
      </c>
    </row>
    <row r="71">
      <c r="A71" s="5" t="inlineStr">
        <is>
          <t>Top 5</t>
        </is>
      </c>
    </row>
    <row r="72">
      <c r="A72" s="6" t="inlineStr">
        <is>
          <t>1er lugar</t>
        </is>
      </c>
      <c r="B72" s="7" t="n">
        <v>70796.5</v>
      </c>
      <c r="C72" t="inlineStr">
        <is>
          <t>V39 JOSE</t>
        </is>
      </c>
    </row>
    <row r="73">
      <c r="A73" s="6" t="inlineStr">
        <is>
          <t>2o lugar</t>
        </is>
      </c>
      <c r="D73" s="7" t="n">
        <v>40169</v>
      </c>
      <c r="E73" t="inlineStr">
        <is>
          <t>JORGE</t>
        </is>
      </c>
    </row>
    <row r="74">
      <c r="A74" s="6" t="inlineStr">
        <is>
          <t>3er lugar</t>
        </is>
      </c>
      <c r="F74" s="7" t="n">
        <v>35046</v>
      </c>
      <c r="G74" t="inlineStr">
        <is>
          <t>EDGAR</t>
        </is>
      </c>
    </row>
    <row r="75">
      <c r="A75" s="6" t="inlineStr">
        <is>
          <t>4o lugar</t>
        </is>
      </c>
      <c r="H75" s="7" t="n">
        <v>34647</v>
      </c>
      <c r="I75" t="inlineStr">
        <is>
          <t>FRANCISCO</t>
        </is>
      </c>
    </row>
    <row r="76">
      <c r="A76" s="6" t="inlineStr">
        <is>
          <t>5o lugar</t>
        </is>
      </c>
      <c r="J76" s="7" t="n">
        <v>24103.81</v>
      </c>
      <c r="K76" t="inlineStr">
        <is>
          <t>DEPOSITO</t>
        </is>
      </c>
    </row>
    <row r="77">
      <c r="A77" s="3" t="inlineStr">
        <is>
          <t>EFECTIVA</t>
        </is>
      </c>
      <c r="B77" s="4" t="n">
        <v>1131182</v>
      </c>
    </row>
    <row r="78">
      <c r="A78" s="5" t="inlineStr">
        <is>
          <t>Top 5</t>
        </is>
      </c>
    </row>
    <row r="79">
      <c r="A79" s="6" t="inlineStr">
        <is>
          <t>1er lugar</t>
        </is>
      </c>
      <c r="B79" s="7" t="n">
        <v>150839</v>
      </c>
      <c r="C79" t="inlineStr">
        <is>
          <t>EDGAR</t>
        </is>
      </c>
    </row>
    <row r="80">
      <c r="A80" s="6" t="inlineStr">
        <is>
          <t>2o lugar</t>
        </is>
      </c>
      <c r="D80" s="7" t="n">
        <v>140739</v>
      </c>
      <c r="E80" t="inlineStr">
        <is>
          <t>FRANCISCO</t>
        </is>
      </c>
    </row>
    <row r="81">
      <c r="A81" s="6" t="inlineStr">
        <is>
          <t>3er lugar</t>
        </is>
      </c>
      <c r="F81" s="7" t="n">
        <v>91742</v>
      </c>
      <c r="G81" t="inlineStr">
        <is>
          <t>EDUARDO</t>
        </is>
      </c>
    </row>
    <row r="82">
      <c r="A82" s="6" t="inlineStr">
        <is>
          <t>4o lugar</t>
        </is>
      </c>
      <c r="H82" s="7" t="n">
        <v>88710</v>
      </c>
      <c r="I82" t="inlineStr">
        <is>
          <t>JORGE</t>
        </is>
      </c>
    </row>
    <row r="83">
      <c r="A83" s="6" t="inlineStr">
        <is>
          <t>5o lugar</t>
        </is>
      </c>
      <c r="J83" s="7" t="n">
        <v>73492</v>
      </c>
      <c r="K83" t="inlineStr">
        <is>
          <t>DEPOSITO</t>
        </is>
      </c>
    </row>
    <row r="84">
      <c r="A84" s="3" t="inlineStr">
        <is>
          <t>RECUPERADA</t>
        </is>
      </c>
      <c r="B84" s="4" t="n">
        <v>94027</v>
      </c>
    </row>
    <row r="85">
      <c r="A85" s="5" t="inlineStr">
        <is>
          <t>Top 5</t>
        </is>
      </c>
    </row>
    <row r="86">
      <c r="A86" s="6" t="inlineStr">
        <is>
          <t>1er lugar</t>
        </is>
      </c>
    </row>
    <row r="87">
      <c r="A87" s="6" t="inlineStr">
        <is>
          <t>2o lugar</t>
        </is>
      </c>
    </row>
    <row r="88">
      <c r="A88" s="6" t="inlineStr">
        <is>
          <t>3er lugar</t>
        </is>
      </c>
    </row>
    <row r="89">
      <c r="A89" s="6" t="inlineStr">
        <is>
          <t>4o lugar</t>
        </is>
      </c>
    </row>
    <row r="90">
      <c r="A90" s="6" t="inlineStr">
        <is>
          <t>5o lugar</t>
        </is>
      </c>
    </row>
    <row r="91">
      <c r="A91" s="3" t="inlineStr">
        <is>
          <t>TOTAL GRAL</t>
        </is>
      </c>
      <c r="B91" s="4" t="n">
        <v>1251614</v>
      </c>
    </row>
    <row r="92">
      <c r="A92" s="5" t="inlineStr">
        <is>
          <t>Top 5</t>
        </is>
      </c>
    </row>
    <row r="93">
      <c r="A93" s="6" t="inlineStr">
        <is>
          <t>1er lugar</t>
        </is>
      </c>
    </row>
    <row r="94">
      <c r="A94" s="6" t="inlineStr">
        <is>
          <t>2o lugar</t>
        </is>
      </c>
    </row>
    <row r="95">
      <c r="A95" s="6" t="inlineStr">
        <is>
          <t>3er lugar</t>
        </is>
      </c>
    </row>
    <row r="96">
      <c r="A96" s="6" t="inlineStr">
        <is>
          <t>4o lugar</t>
        </is>
      </c>
    </row>
    <row r="97">
      <c r="A97" s="6" t="inlineStr">
        <is>
          <t>5o lugar</t>
        </is>
      </c>
    </row>
    <row r="98">
      <c r="A98" s="3" t="inlineStr">
        <is>
          <t>ADELANTADA</t>
        </is>
      </c>
      <c r="B98" s="4" t="n">
        <v>0</v>
      </c>
    </row>
    <row r="99">
      <c r="A99" s="5" t="inlineStr">
        <is>
          <t>Top 5</t>
        </is>
      </c>
    </row>
    <row r="100">
      <c r="A100" s="6" t="inlineStr">
        <is>
          <t>1er lugar</t>
        </is>
      </c>
    </row>
    <row r="101">
      <c r="A101" s="6" t="inlineStr">
        <is>
          <t>2o lugar</t>
        </is>
      </c>
    </row>
    <row r="102">
      <c r="A102" s="6" t="inlineStr">
        <is>
          <t>3er lugar</t>
        </is>
      </c>
    </row>
    <row r="103">
      <c r="A103" s="6" t="inlineStr">
        <is>
          <t>4o lugar</t>
        </is>
      </c>
    </row>
    <row r="104">
      <c r="A104" s="6" t="inlineStr">
        <is>
          <t>5o lugar</t>
        </is>
      </c>
    </row>
    <row r="107">
      <c r="A107" s="1" t="inlineStr">
        <is>
          <t>MARZO 2026</t>
        </is>
      </c>
    </row>
    <row r="108">
      <c r="A108" s="2" t="inlineStr">
        <is>
          <t>CONCEPTO</t>
        </is>
      </c>
      <c r="B108" s="2" t="inlineStr">
        <is>
          <t>TOTAL ($)</t>
        </is>
      </c>
      <c r="C108" s="2" t="inlineStr">
        <is>
          <t>1er lugar</t>
        </is>
      </c>
      <c r="D108" s="2" t="inlineStr">
        <is>
          <t>Monto</t>
        </is>
      </c>
      <c r="E108" s="2" t="inlineStr">
        <is>
          <t>2o lugar</t>
        </is>
      </c>
      <c r="F108" s="2" t="inlineStr">
        <is>
          <t>Monto</t>
        </is>
      </c>
      <c r="G108" s="2" t="inlineStr">
        <is>
          <t>3er lugar</t>
        </is>
      </c>
      <c r="H108" s="2" t="inlineStr">
        <is>
          <t>Monto</t>
        </is>
      </c>
      <c r="I108" s="2" t="inlineStr">
        <is>
          <t>4o lugar</t>
        </is>
      </c>
      <c r="J108" s="2" t="inlineStr">
        <is>
          <t>Monto</t>
        </is>
      </c>
      <c r="K108" s="2" t="inlineStr">
        <is>
          <t>5o lugar</t>
        </is>
      </c>
      <c r="L108" s="2" t="inlineStr">
        <is>
          <t>Monto</t>
        </is>
      </c>
    </row>
    <row r="109">
      <c r="A109" s="3" t="inlineStr">
        <is>
          <t>CORRIENTE</t>
        </is>
      </c>
      <c r="B109" s="4" t="n">
        <v>1503969</v>
      </c>
    </row>
    <row r="110">
      <c r="A110" s="5" t="inlineStr">
        <is>
          <t>Top 5</t>
        </is>
      </c>
    </row>
    <row r="111">
      <c r="A111" s="6" t="inlineStr">
        <is>
          <t>1er lugar</t>
        </is>
      </c>
      <c r="B111" s="7" t="n">
        <v>324822</v>
      </c>
      <c r="C111" t="inlineStr">
        <is>
          <t>V1</t>
        </is>
      </c>
    </row>
    <row r="112">
      <c r="A112" s="6" t="inlineStr">
        <is>
          <t>2o lugar</t>
        </is>
      </c>
      <c r="D112" s="7" t="n">
        <v>293341</v>
      </c>
      <c r="E112" t="inlineStr">
        <is>
          <t>V6</t>
        </is>
      </c>
    </row>
    <row r="113">
      <c r="A113" s="6" t="inlineStr">
        <is>
          <t>3er lugar</t>
        </is>
      </c>
      <c r="F113" s="7" t="n">
        <v>193535</v>
      </c>
      <c r="G113" t="inlineStr">
        <is>
          <t>V38</t>
        </is>
      </c>
    </row>
    <row r="114">
      <c r="A114" s="6" t="inlineStr">
        <is>
          <t>4o lugar</t>
        </is>
      </c>
      <c r="H114" s="7" t="n">
        <v>175043</v>
      </c>
      <c r="I114" t="inlineStr">
        <is>
          <t>V39</t>
        </is>
      </c>
    </row>
    <row r="115">
      <c r="A115" s="6" t="inlineStr">
        <is>
          <t>5o lugar</t>
        </is>
      </c>
      <c r="J115" s="7" t="n">
        <v>126905</v>
      </c>
      <c r="K115" t="inlineStr">
        <is>
          <t>V27</t>
        </is>
      </c>
    </row>
    <row r="116">
      <c r="A116" s="3" t="inlineStr">
        <is>
          <t>CANCEL</t>
        </is>
      </c>
      <c r="B116" s="4" t="n">
        <v>106825</v>
      </c>
    </row>
    <row r="117">
      <c r="A117" s="5" t="inlineStr">
        <is>
          <t>Top 5</t>
        </is>
      </c>
    </row>
    <row r="118">
      <c r="A118" s="6" t="inlineStr">
        <is>
          <t>1er lugar</t>
        </is>
      </c>
      <c r="B118" s="7" t="n">
        <v>19788</v>
      </c>
      <c r="C118" t="inlineStr">
        <is>
          <t>V1</t>
        </is>
      </c>
    </row>
    <row r="119">
      <c r="A119" s="6" t="inlineStr">
        <is>
          <t>2o lugar</t>
        </is>
      </c>
      <c r="D119" s="7" t="n">
        <v>16551</v>
      </c>
      <c r="E119" t="inlineStr">
        <is>
          <t>V38</t>
        </is>
      </c>
    </row>
    <row r="120">
      <c r="A120" s="6" t="inlineStr">
        <is>
          <t>3er lugar</t>
        </is>
      </c>
      <c r="F120" s="7" t="n">
        <v>15166</v>
      </c>
      <c r="G120" t="inlineStr">
        <is>
          <t>V6</t>
        </is>
      </c>
    </row>
    <row r="121">
      <c r="A121" s="6" t="inlineStr">
        <is>
          <t>4o lugar</t>
        </is>
      </c>
      <c r="H121" s="7" t="n">
        <v>13415</v>
      </c>
      <c r="I121" t="inlineStr">
        <is>
          <t>V56</t>
        </is>
      </c>
    </row>
    <row r="122">
      <c r="A122" s="6" t="inlineStr">
        <is>
          <t>5o lugar</t>
        </is>
      </c>
      <c r="J122" s="7" t="n">
        <v>12616</v>
      </c>
      <c r="K122" t="inlineStr">
        <is>
          <t>V84</t>
        </is>
      </c>
    </row>
    <row r="123">
      <c r="A123" s="3" t="inlineStr">
        <is>
          <t>VENCIDA</t>
        </is>
      </c>
      <c r="B123" s="4" t="n">
        <v>145938</v>
      </c>
    </row>
    <row r="124">
      <c r="A124" s="5" t="inlineStr">
        <is>
          <t>Top 5</t>
        </is>
      </c>
    </row>
    <row r="125">
      <c r="A125" s="6" t="inlineStr">
        <is>
          <t>1er lugar</t>
        </is>
      </c>
      <c r="B125" s="7" t="n">
        <v>30632</v>
      </c>
      <c r="C125" t="inlineStr">
        <is>
          <t>V39</t>
        </is>
      </c>
    </row>
    <row r="126">
      <c r="A126" s="6" t="inlineStr">
        <is>
          <t>2o lugar</t>
        </is>
      </c>
      <c r="D126" s="7" t="n">
        <v>23081</v>
      </c>
      <c r="E126" t="inlineStr">
        <is>
          <t>EDGAR</t>
        </is>
      </c>
    </row>
    <row r="127">
      <c r="A127" s="6" t="inlineStr">
        <is>
          <t>3er lugar</t>
        </is>
      </c>
      <c r="F127" s="7" t="n">
        <v>22118</v>
      </c>
      <c r="G127" t="inlineStr">
        <is>
          <t>DEPOSITO</t>
        </is>
      </c>
    </row>
    <row r="128">
      <c r="A128" s="6" t="inlineStr">
        <is>
          <t>4o lugar</t>
        </is>
      </c>
      <c r="H128" s="7" t="n">
        <v>21557</v>
      </c>
      <c r="I128" t="inlineStr">
        <is>
          <t>JORGE</t>
        </is>
      </c>
    </row>
    <row r="129">
      <c r="A129" s="6" t="inlineStr">
        <is>
          <t>5o lugar</t>
        </is>
      </c>
      <c r="J129" s="7" t="n">
        <v>12381</v>
      </c>
      <c r="K129" t="inlineStr">
        <is>
          <t>FRANCISCO</t>
        </is>
      </c>
    </row>
    <row r="130">
      <c r="A130" s="3" t="inlineStr">
        <is>
          <t>EFECTIVA</t>
        </is>
      </c>
      <c r="B130" s="4" t="n">
        <v>1202393</v>
      </c>
    </row>
    <row r="131">
      <c r="A131" s="5" t="inlineStr">
        <is>
          <t>Top 5</t>
        </is>
      </c>
    </row>
    <row r="132">
      <c r="A132" s="6" t="inlineStr">
        <is>
          <t>1er lugar</t>
        </is>
      </c>
      <c r="B132" s="7" t="n">
        <v>199444</v>
      </c>
      <c r="C132" t="inlineStr">
        <is>
          <t>EDGAR</t>
        </is>
      </c>
    </row>
    <row r="133">
      <c r="A133" s="6" t="inlineStr">
        <is>
          <t>2o lugar</t>
        </is>
      </c>
      <c r="D133" s="7" t="n">
        <v>168196</v>
      </c>
      <c r="E133" t="inlineStr">
        <is>
          <t>DEPOSITO</t>
        </is>
      </c>
    </row>
    <row r="134">
      <c r="A134" s="6" t="inlineStr">
        <is>
          <t>3er lugar</t>
        </is>
      </c>
      <c r="F134" s="7" t="n">
        <v>118908</v>
      </c>
      <c r="G134" t="inlineStr">
        <is>
          <t>V1</t>
        </is>
      </c>
    </row>
    <row r="135">
      <c r="A135" s="6" t="inlineStr">
        <is>
          <t>4o lugar</t>
        </is>
      </c>
      <c r="H135" s="7" t="n">
        <v>113756</v>
      </c>
      <c r="I135" t="inlineStr">
        <is>
          <t>JORGE</t>
        </is>
      </c>
    </row>
    <row r="136">
      <c r="A136" s="6" t="inlineStr">
        <is>
          <t>5o lugar</t>
        </is>
      </c>
      <c r="J136" s="7" t="n">
        <v>95792</v>
      </c>
      <c r="K136" t="inlineStr">
        <is>
          <t>FRANCISCO</t>
        </is>
      </c>
    </row>
    <row r="137">
      <c r="A137" s="3" t="inlineStr">
        <is>
          <t>RECUPERADA</t>
        </is>
      </c>
      <c r="B137" s="4" t="n">
        <v>180788</v>
      </c>
    </row>
    <row r="138">
      <c r="A138" s="5" t="inlineStr">
        <is>
          <t>Top 5</t>
        </is>
      </c>
    </row>
    <row r="139">
      <c r="A139" s="6" t="inlineStr">
        <is>
          <t>1er lugar</t>
        </is>
      </c>
    </row>
    <row r="140">
      <c r="A140" s="6" t="inlineStr">
        <is>
          <t>2o lugar</t>
        </is>
      </c>
    </row>
    <row r="141">
      <c r="A141" s="6" t="inlineStr">
        <is>
          <t>3er lugar</t>
        </is>
      </c>
    </row>
    <row r="142">
      <c r="A142" s="6" t="inlineStr">
        <is>
          <t>4o lugar</t>
        </is>
      </c>
    </row>
    <row r="143">
      <c r="A143" s="6" t="inlineStr">
        <is>
          <t>5o lugar</t>
        </is>
      </c>
    </row>
    <row r="144">
      <c r="A144" s="3" t="inlineStr">
        <is>
          <t>TOTAL GRAL</t>
        </is>
      </c>
      <c r="B144" s="4" t="n">
        <v>1433162</v>
      </c>
    </row>
    <row r="145">
      <c r="A145" s="5" t="inlineStr">
        <is>
          <t>Top 5</t>
        </is>
      </c>
    </row>
    <row r="146">
      <c r="A146" s="6" t="inlineStr">
        <is>
          <t>1er lugar</t>
        </is>
      </c>
    </row>
    <row r="147">
      <c r="A147" s="6" t="inlineStr">
        <is>
          <t>2o lugar</t>
        </is>
      </c>
    </row>
    <row r="148">
      <c r="A148" s="6" t="inlineStr">
        <is>
          <t>3er lugar</t>
        </is>
      </c>
    </row>
    <row r="149">
      <c r="A149" s="6" t="inlineStr">
        <is>
          <t>4o lugar</t>
        </is>
      </c>
    </row>
    <row r="150">
      <c r="A150" s="6" t="inlineStr">
        <is>
          <t>5o lugar</t>
        </is>
      </c>
    </row>
    <row r="151">
      <c r="A151" s="3" t="inlineStr">
        <is>
          <t>ADELANTADA</t>
        </is>
      </c>
      <c r="B151" s="4" t="n">
        <v>0</v>
      </c>
    </row>
    <row r="152">
      <c r="A152" s="5" t="inlineStr">
        <is>
          <t>Top 5</t>
        </is>
      </c>
    </row>
    <row r="153">
      <c r="A153" s="6" t="inlineStr">
        <is>
          <t>1er lugar</t>
        </is>
      </c>
    </row>
    <row r="154">
      <c r="A154" s="6" t="inlineStr">
        <is>
          <t>2o lugar</t>
        </is>
      </c>
    </row>
    <row r="155">
      <c r="A155" s="6" t="inlineStr">
        <is>
          <t>3er lugar</t>
        </is>
      </c>
    </row>
    <row r="156">
      <c r="A156" s="6" t="inlineStr">
        <is>
          <t>4o lugar</t>
        </is>
      </c>
    </row>
    <row r="157">
      <c r="A157" s="6" t="inlineStr">
        <is>
          <t>5o lugar</t>
        </is>
      </c>
    </row>
    <row r="160">
      <c r="A160" s="1" t="inlineStr">
        <is>
          <t>ABRIL 2026</t>
        </is>
      </c>
    </row>
    <row r="161">
      <c r="A161" s="2" t="inlineStr">
        <is>
          <t>CONCEPTO</t>
        </is>
      </c>
      <c r="B161" s="2" t="inlineStr">
        <is>
          <t>TOTAL ($)</t>
        </is>
      </c>
      <c r="C161" s="2" t="inlineStr">
        <is>
          <t>1er lugar</t>
        </is>
      </c>
      <c r="D161" s="2" t="inlineStr">
        <is>
          <t>Monto</t>
        </is>
      </c>
      <c r="E161" s="2" t="inlineStr">
        <is>
          <t>2o lugar</t>
        </is>
      </c>
      <c r="F161" s="2" t="inlineStr">
        <is>
          <t>Monto</t>
        </is>
      </c>
      <c r="G161" s="2" t="inlineStr">
        <is>
          <t>3er lugar</t>
        </is>
      </c>
      <c r="H161" s="2" t="inlineStr">
        <is>
          <t>Monto</t>
        </is>
      </c>
      <c r="I161" s="2" t="inlineStr">
        <is>
          <t>4o lugar</t>
        </is>
      </c>
      <c r="J161" s="2" t="inlineStr">
        <is>
          <t>Monto</t>
        </is>
      </c>
      <c r="K161" s="2" t="inlineStr">
        <is>
          <t>5o lugar</t>
        </is>
      </c>
      <c r="L161" s="2" t="inlineStr">
        <is>
          <t>Monto</t>
        </is>
      </c>
    </row>
    <row r="162">
      <c r="A162" s="3" t="inlineStr">
        <is>
          <t>CORRIENTE</t>
        </is>
      </c>
      <c r="B162" s="4" t="n">
        <v>1333269</v>
      </c>
    </row>
    <row r="163">
      <c r="A163" s="5" t="inlineStr">
        <is>
          <t>Top 5</t>
        </is>
      </c>
    </row>
    <row r="164">
      <c r="A164" s="6" t="inlineStr">
        <is>
          <t>1er lugar</t>
        </is>
      </c>
      <c r="B164" s="7" t="n">
        <v>252756</v>
      </c>
      <c r="C164" t="inlineStr">
        <is>
          <t>V1</t>
        </is>
      </c>
    </row>
    <row r="165">
      <c r="A165" s="6" t="inlineStr">
        <is>
          <t>2o lugar</t>
        </is>
      </c>
      <c r="D165" s="7" t="n">
        <v>232738</v>
      </c>
      <c r="E165" t="inlineStr">
        <is>
          <t>V6</t>
        </is>
      </c>
    </row>
    <row r="166">
      <c r="A166" s="6" t="inlineStr">
        <is>
          <t>3er lugar</t>
        </is>
      </c>
      <c r="F166" s="7" t="n">
        <v>189665</v>
      </c>
      <c r="G166" t="inlineStr">
        <is>
          <t>V39</t>
        </is>
      </c>
    </row>
    <row r="167">
      <c r="A167" s="6" t="inlineStr">
        <is>
          <t>4o lugar</t>
        </is>
      </c>
      <c r="H167" s="7" t="n">
        <v>176792</v>
      </c>
      <c r="I167" t="inlineStr">
        <is>
          <t>V38</t>
        </is>
      </c>
    </row>
    <row r="168">
      <c r="A168" s="6" t="inlineStr">
        <is>
          <t>5o lugar</t>
        </is>
      </c>
      <c r="J168" s="7" t="n">
        <v>104567</v>
      </c>
      <c r="K168" t="inlineStr">
        <is>
          <t>V56</t>
        </is>
      </c>
    </row>
    <row r="169">
      <c r="A169" s="3" t="inlineStr">
        <is>
          <t>CANCEL</t>
        </is>
      </c>
      <c r="B169" s="4" t="n">
        <v>116313</v>
      </c>
    </row>
    <row r="170">
      <c r="A170" s="5" t="inlineStr">
        <is>
          <t>Top 5</t>
        </is>
      </c>
    </row>
    <row r="171">
      <c r="A171" s="6" t="inlineStr">
        <is>
          <t>1er lugar</t>
        </is>
      </c>
      <c r="B171" s="7" t="n">
        <v>16519</v>
      </c>
      <c r="C171" t="inlineStr">
        <is>
          <t>V39</t>
        </is>
      </c>
    </row>
    <row r="172">
      <c r="A172" s="6" t="inlineStr">
        <is>
          <t>2o lugar</t>
        </is>
      </c>
      <c r="D172" s="7" t="n">
        <v>16242</v>
      </c>
      <c r="E172" t="inlineStr">
        <is>
          <t>V38</t>
        </is>
      </c>
    </row>
    <row r="173">
      <c r="A173" s="6" t="inlineStr">
        <is>
          <t>3er lugar</t>
        </is>
      </c>
      <c r="F173" s="7" t="n">
        <v>15691</v>
      </c>
      <c r="G173" t="inlineStr">
        <is>
          <t>V1</t>
        </is>
      </c>
    </row>
    <row r="174">
      <c r="A174" s="6" t="inlineStr">
        <is>
          <t>4o lugar</t>
        </is>
      </c>
      <c r="H174" s="7" t="n">
        <v>13754</v>
      </c>
      <c r="I174" t="inlineStr">
        <is>
          <t>V6</t>
        </is>
      </c>
    </row>
    <row r="175">
      <c r="A175" s="6" t="inlineStr">
        <is>
          <t>5o lugar</t>
        </is>
      </c>
      <c r="J175" s="7" t="n">
        <v>13047</v>
      </c>
      <c r="K175" t="inlineStr">
        <is>
          <t>V56</t>
        </is>
      </c>
    </row>
    <row r="176">
      <c r="A176" s="3" t="inlineStr">
        <is>
          <t>VENCIDA</t>
        </is>
      </c>
      <c r="B176" s="4" t="n">
        <v>142779</v>
      </c>
    </row>
    <row r="177">
      <c r="A177" s="5" t="inlineStr">
        <is>
          <t>Top 5</t>
        </is>
      </c>
    </row>
    <row r="178">
      <c r="A178" s="6" t="inlineStr">
        <is>
          <t>1er lugar</t>
        </is>
      </c>
      <c r="B178" s="7" t="n">
        <v>22753</v>
      </c>
      <c r="C178" t="inlineStr">
        <is>
          <t>EDGAR</t>
        </is>
      </c>
    </row>
    <row r="179">
      <c r="A179" s="6" t="inlineStr">
        <is>
          <t>2o lugar</t>
        </is>
      </c>
      <c r="D179" s="7" t="n">
        <v>22418</v>
      </c>
      <c r="E179" t="inlineStr">
        <is>
          <t>V39</t>
        </is>
      </c>
    </row>
    <row r="180">
      <c r="A180" s="6" t="inlineStr">
        <is>
          <t>3er lugar</t>
        </is>
      </c>
      <c r="F180" s="7" t="n">
        <v>22157</v>
      </c>
      <c r="G180" t="inlineStr">
        <is>
          <t>EDUARDO</t>
        </is>
      </c>
    </row>
    <row r="181">
      <c r="A181" s="6" t="inlineStr">
        <is>
          <t>4o lugar</t>
        </is>
      </c>
      <c r="H181" s="7" t="n">
        <v>19559</v>
      </c>
      <c r="I181" t="inlineStr">
        <is>
          <t>DEPOSITO</t>
        </is>
      </c>
    </row>
    <row r="182">
      <c r="A182" s="6" t="inlineStr">
        <is>
          <t>5o lugar</t>
        </is>
      </c>
      <c r="J182" s="7" t="n">
        <v>18767</v>
      </c>
      <c r="K182" t="inlineStr">
        <is>
          <t>FRANCISCO</t>
        </is>
      </c>
    </row>
    <row r="183">
      <c r="A183" s="3" t="inlineStr">
        <is>
          <t>EFECTIVA</t>
        </is>
      </c>
      <c r="B183" s="4" t="n">
        <v>1017950</v>
      </c>
    </row>
    <row r="184">
      <c r="A184" s="5" t="inlineStr">
        <is>
          <t>Top 5</t>
        </is>
      </c>
    </row>
    <row r="185">
      <c r="A185" s="6" t="inlineStr">
        <is>
          <t>1er lugar</t>
        </is>
      </c>
      <c r="B185" s="7" t="n">
        <v>226674</v>
      </c>
      <c r="C185" t="inlineStr">
        <is>
          <t>DEPOSITO</t>
        </is>
      </c>
    </row>
    <row r="186">
      <c r="A186" s="6" t="inlineStr">
        <is>
          <t>2o lugar</t>
        </is>
      </c>
      <c r="D186" s="7" t="n">
        <v>174488</v>
      </c>
      <c r="E186" t="inlineStr">
        <is>
          <t>EDGAR</t>
        </is>
      </c>
    </row>
    <row r="187">
      <c r="A187" s="6" t="inlineStr">
        <is>
          <t>3er lugar</t>
        </is>
      </c>
      <c r="F187" s="7" t="n">
        <v>117049</v>
      </c>
      <c r="G187" t="inlineStr">
        <is>
          <t>JORGE</t>
        </is>
      </c>
    </row>
    <row r="188">
      <c r="A188" s="6" t="inlineStr">
        <is>
          <t>4o lugar</t>
        </is>
      </c>
      <c r="H188" s="7" t="n">
        <v>109425</v>
      </c>
      <c r="I188" t="inlineStr">
        <is>
          <t>FRANCISCO</t>
        </is>
      </c>
    </row>
    <row r="189">
      <c r="A189" s="6" t="inlineStr">
        <is>
          <t>5o lugar</t>
        </is>
      </c>
      <c r="J189" s="7" t="n">
        <v>57711</v>
      </c>
      <c r="K189" t="inlineStr">
        <is>
          <t>V39</t>
        </is>
      </c>
    </row>
    <row r="190">
      <c r="A190" s="3" t="inlineStr">
        <is>
          <t>RECUPERADA</t>
        </is>
      </c>
      <c r="B190" s="4" t="n">
        <v>73871</v>
      </c>
    </row>
    <row r="191">
      <c r="A191" s="5" t="inlineStr">
        <is>
          <t>Top 5</t>
        </is>
      </c>
    </row>
    <row r="192">
      <c r="A192" s="6" t="inlineStr">
        <is>
          <t>1er lugar</t>
        </is>
      </c>
    </row>
    <row r="193">
      <c r="A193" s="6" t="inlineStr">
        <is>
          <t>2o lugar</t>
        </is>
      </c>
    </row>
    <row r="194">
      <c r="A194" s="6" t="inlineStr">
        <is>
          <t>3er lugar</t>
        </is>
      </c>
    </row>
    <row r="195">
      <c r="A195" s="6" t="inlineStr">
        <is>
          <t>4o lugar</t>
        </is>
      </c>
    </row>
    <row r="196">
      <c r="A196" s="6" t="inlineStr">
        <is>
          <t>5o lugar</t>
        </is>
      </c>
    </row>
    <row r="197">
      <c r="A197" s="3" t="inlineStr">
        <is>
          <t>TOTAL GRAL</t>
        </is>
      </c>
      <c r="B197" s="4" t="n">
        <v>1136869</v>
      </c>
    </row>
    <row r="198">
      <c r="A198" s="5" t="inlineStr">
        <is>
          <t>Top 5</t>
        </is>
      </c>
    </row>
    <row r="199">
      <c r="A199" s="6" t="inlineStr">
        <is>
          <t>1er lugar</t>
        </is>
      </c>
    </row>
    <row r="200">
      <c r="A200" s="6" t="inlineStr">
        <is>
          <t>2o lugar</t>
        </is>
      </c>
    </row>
    <row r="201">
      <c r="A201" s="6" t="inlineStr">
        <is>
          <t>3er lugar</t>
        </is>
      </c>
    </row>
    <row r="202">
      <c r="A202" s="6" t="inlineStr">
        <is>
          <t>4o lugar</t>
        </is>
      </c>
    </row>
    <row r="203">
      <c r="A203" s="6" t="inlineStr">
        <is>
          <t>5o lugar</t>
        </is>
      </c>
    </row>
    <row r="204">
      <c r="A204" s="3" t="inlineStr">
        <is>
          <t>ADELANTADA</t>
        </is>
      </c>
      <c r="B204" s="4" t="n">
        <v>2689</v>
      </c>
    </row>
    <row r="205">
      <c r="A205" s="5" t="inlineStr">
        <is>
          <t>Top 5</t>
        </is>
      </c>
    </row>
    <row r="206">
      <c r="A206" s="6" t="inlineStr">
        <is>
          <t>1er lugar</t>
        </is>
      </c>
    </row>
    <row r="207">
      <c r="A207" s="6" t="inlineStr">
        <is>
          <t>2o lugar</t>
        </is>
      </c>
    </row>
    <row r="208">
      <c r="A208" s="6" t="inlineStr">
        <is>
          <t>3er lugar</t>
        </is>
      </c>
    </row>
    <row r="209">
      <c r="A209" s="6" t="inlineStr">
        <is>
          <t>4o lugar</t>
        </is>
      </c>
    </row>
    <row r="210">
      <c r="A210" s="6" t="inlineStr">
        <is>
          <t>5o lugar</t>
        </is>
      </c>
    </row>
    <row r="213">
      <c r="A213" s="1" t="inlineStr">
        <is>
          <t>MAYO 2026</t>
        </is>
      </c>
    </row>
    <row r="214">
      <c r="A214" s="2" t="inlineStr">
        <is>
          <t>CONCEPTO</t>
        </is>
      </c>
      <c r="B214" s="2" t="inlineStr">
        <is>
          <t>TOTAL ($)</t>
        </is>
      </c>
      <c r="C214" s="2" t="inlineStr">
        <is>
          <t>1er lugar</t>
        </is>
      </c>
      <c r="D214" s="2" t="inlineStr">
        <is>
          <t>Monto</t>
        </is>
      </c>
      <c r="E214" s="2" t="inlineStr">
        <is>
          <t>2o lugar</t>
        </is>
      </c>
      <c r="F214" s="2" t="inlineStr">
        <is>
          <t>Monto</t>
        </is>
      </c>
      <c r="G214" s="2" t="inlineStr">
        <is>
          <t>3er lugar</t>
        </is>
      </c>
      <c r="H214" s="2" t="inlineStr">
        <is>
          <t>Monto</t>
        </is>
      </c>
      <c r="I214" s="2" t="inlineStr">
        <is>
          <t>4o lugar</t>
        </is>
      </c>
      <c r="J214" s="2" t="inlineStr">
        <is>
          <t>Monto</t>
        </is>
      </c>
      <c r="K214" s="2" t="inlineStr">
        <is>
          <t>5o lugar</t>
        </is>
      </c>
      <c r="L214" s="2" t="inlineStr">
        <is>
          <t>Monto</t>
        </is>
      </c>
    </row>
    <row r="215">
      <c r="A215" s="3" t="inlineStr">
        <is>
          <t>CORRIENTE</t>
        </is>
      </c>
      <c r="B215" s="4" t="n">
        <v>0</v>
      </c>
    </row>
    <row r="216">
      <c r="A216" s="5" t="inlineStr">
        <is>
          <t>Top 5</t>
        </is>
      </c>
    </row>
    <row r="217">
      <c r="A217" s="6" t="inlineStr">
        <is>
          <t>1er lugar</t>
        </is>
      </c>
    </row>
    <row r="218">
      <c r="A218" s="6" t="inlineStr">
        <is>
          <t>2o lugar</t>
        </is>
      </c>
    </row>
    <row r="219">
      <c r="A219" s="6" t="inlineStr">
        <is>
          <t>3er lugar</t>
        </is>
      </c>
    </row>
    <row r="220">
      <c r="A220" s="6" t="inlineStr">
        <is>
          <t>4o lugar</t>
        </is>
      </c>
    </row>
    <row r="221">
      <c r="A221" s="6" t="inlineStr">
        <is>
          <t>5o lugar</t>
        </is>
      </c>
    </row>
    <row r="222">
      <c r="A222" s="3" t="inlineStr">
        <is>
          <t>CANCEL</t>
        </is>
      </c>
      <c r="B222" s="4" t="n">
        <v>0</v>
      </c>
    </row>
    <row r="223">
      <c r="A223" s="5" t="inlineStr">
        <is>
          <t>Top 5</t>
        </is>
      </c>
    </row>
    <row r="224">
      <c r="A224" s="6" t="inlineStr">
        <is>
          <t>1er lugar</t>
        </is>
      </c>
    </row>
    <row r="225">
      <c r="A225" s="6" t="inlineStr">
        <is>
          <t>2o lugar</t>
        </is>
      </c>
    </row>
    <row r="226">
      <c r="A226" s="6" t="inlineStr">
        <is>
          <t>3er lugar</t>
        </is>
      </c>
    </row>
    <row r="227">
      <c r="A227" s="6" t="inlineStr">
        <is>
          <t>4o lugar</t>
        </is>
      </c>
    </row>
    <row r="228">
      <c r="A228" s="6" t="inlineStr">
        <is>
          <t>5o lugar</t>
        </is>
      </c>
    </row>
    <row r="229">
      <c r="A229" s="3" t="inlineStr">
        <is>
          <t>VENCIDA</t>
        </is>
      </c>
      <c r="B229" s="4" t="n">
        <v>0</v>
      </c>
    </row>
    <row r="230">
      <c r="A230" s="5" t="inlineStr">
        <is>
          <t>Top 5</t>
        </is>
      </c>
    </row>
    <row r="231">
      <c r="A231" s="6" t="inlineStr">
        <is>
          <t>1er lugar</t>
        </is>
      </c>
    </row>
    <row r="232">
      <c r="A232" s="6" t="inlineStr">
        <is>
          <t>2o lugar</t>
        </is>
      </c>
    </row>
    <row r="233">
      <c r="A233" s="6" t="inlineStr">
        <is>
          <t>3er lugar</t>
        </is>
      </c>
    </row>
    <row r="234">
      <c r="A234" s="6" t="inlineStr">
        <is>
          <t>4o lugar</t>
        </is>
      </c>
    </row>
    <row r="235">
      <c r="A235" s="6" t="inlineStr">
        <is>
          <t>5o lugar</t>
        </is>
      </c>
    </row>
    <row r="236">
      <c r="A236" s="3" t="inlineStr">
        <is>
          <t>EFECTIVA</t>
        </is>
      </c>
      <c r="B236" s="4" t="n">
        <v>0</v>
      </c>
    </row>
    <row r="237">
      <c r="A237" s="5" t="inlineStr">
        <is>
          <t>Top 5</t>
        </is>
      </c>
    </row>
    <row r="238">
      <c r="A238" s="6" t="inlineStr">
        <is>
          <t>1er lugar</t>
        </is>
      </c>
    </row>
    <row r="239">
      <c r="A239" s="6" t="inlineStr">
        <is>
          <t>2o lugar</t>
        </is>
      </c>
    </row>
    <row r="240">
      <c r="A240" s="6" t="inlineStr">
        <is>
          <t>3er lugar</t>
        </is>
      </c>
    </row>
    <row r="241">
      <c r="A241" s="6" t="inlineStr">
        <is>
          <t>4o lugar</t>
        </is>
      </c>
    </row>
    <row r="242">
      <c r="A242" s="6" t="inlineStr">
        <is>
          <t>5o lugar</t>
        </is>
      </c>
    </row>
    <row r="243">
      <c r="A243" s="3" t="inlineStr">
        <is>
          <t>RECUPERADA</t>
        </is>
      </c>
      <c r="B243" s="4" t="n">
        <v>0</v>
      </c>
    </row>
    <row r="244">
      <c r="A244" s="5" t="inlineStr">
        <is>
          <t>Top 5</t>
        </is>
      </c>
    </row>
    <row r="245">
      <c r="A245" s="6" t="inlineStr">
        <is>
          <t>1er lugar</t>
        </is>
      </c>
    </row>
    <row r="246">
      <c r="A246" s="6" t="inlineStr">
        <is>
          <t>2o lugar</t>
        </is>
      </c>
    </row>
    <row r="247">
      <c r="A247" s="6" t="inlineStr">
        <is>
          <t>3er lugar</t>
        </is>
      </c>
    </row>
    <row r="248">
      <c r="A248" s="6" t="inlineStr">
        <is>
          <t>4o lugar</t>
        </is>
      </c>
    </row>
    <row r="249">
      <c r="A249" s="6" t="inlineStr">
        <is>
          <t>5o lugar</t>
        </is>
      </c>
    </row>
    <row r="250">
      <c r="A250" s="3" t="inlineStr">
        <is>
          <t>TOTAL GRAL</t>
        </is>
      </c>
      <c r="B250" s="4" t="n">
        <v>0</v>
      </c>
    </row>
    <row r="251">
      <c r="A251" s="5" t="inlineStr">
        <is>
          <t>Top 5</t>
        </is>
      </c>
    </row>
    <row r="252">
      <c r="A252" s="6" t="inlineStr">
        <is>
          <t>1er lugar</t>
        </is>
      </c>
    </row>
    <row r="253">
      <c r="A253" s="6" t="inlineStr">
        <is>
          <t>2o lugar</t>
        </is>
      </c>
    </row>
    <row r="254">
      <c r="A254" s="6" t="inlineStr">
        <is>
          <t>3er lugar</t>
        </is>
      </c>
    </row>
    <row r="255">
      <c r="A255" s="6" t="inlineStr">
        <is>
          <t>4o lugar</t>
        </is>
      </c>
    </row>
    <row r="256">
      <c r="A256" s="6" t="inlineStr">
        <is>
          <t>5o lugar</t>
        </is>
      </c>
    </row>
    <row r="257">
      <c r="A257" s="3" t="inlineStr">
        <is>
          <t>ADELANTADA</t>
        </is>
      </c>
      <c r="B257" s="4" t="n">
        <v>0</v>
      </c>
    </row>
    <row r="258">
      <c r="A258" s="5" t="inlineStr">
        <is>
          <t>Top 5</t>
        </is>
      </c>
    </row>
    <row r="259">
      <c r="A259" s="6" t="inlineStr">
        <is>
          <t>1er lugar</t>
        </is>
      </c>
    </row>
    <row r="260">
      <c r="A260" s="6" t="inlineStr">
        <is>
          <t>2o lugar</t>
        </is>
      </c>
    </row>
    <row r="261">
      <c r="A261" s="6" t="inlineStr">
        <is>
          <t>3er lugar</t>
        </is>
      </c>
    </row>
    <row r="262">
      <c r="A262" s="6" t="inlineStr">
        <is>
          <t>4o lugar</t>
        </is>
      </c>
    </row>
    <row r="263">
      <c r="A263" s="6" t="inlineStr">
        <is>
          <t>5o lugar</t>
        </is>
      </c>
    </row>
    <row r="266">
      <c r="A266" s="1" t="inlineStr">
        <is>
          <t>JUNIO 2026</t>
        </is>
      </c>
    </row>
    <row r="267">
      <c r="A267" s="2" t="inlineStr">
        <is>
          <t>CONCEPTO</t>
        </is>
      </c>
      <c r="B267" s="2" t="inlineStr">
        <is>
          <t>TOTAL ($)</t>
        </is>
      </c>
      <c r="C267" s="2" t="inlineStr">
        <is>
          <t>1er lugar</t>
        </is>
      </c>
      <c r="D267" s="2" t="inlineStr">
        <is>
          <t>Monto</t>
        </is>
      </c>
      <c r="E267" s="2" t="inlineStr">
        <is>
          <t>2o lugar</t>
        </is>
      </c>
      <c r="F267" s="2" t="inlineStr">
        <is>
          <t>Monto</t>
        </is>
      </c>
      <c r="G267" s="2" t="inlineStr">
        <is>
          <t>3er lugar</t>
        </is>
      </c>
      <c r="H267" s="2" t="inlineStr">
        <is>
          <t>Monto</t>
        </is>
      </c>
      <c r="I267" s="2" t="inlineStr">
        <is>
          <t>4o lugar</t>
        </is>
      </c>
      <c r="J267" s="2" t="inlineStr">
        <is>
          <t>Monto</t>
        </is>
      </c>
      <c r="K267" s="2" t="inlineStr">
        <is>
          <t>5o lugar</t>
        </is>
      </c>
      <c r="L267" s="2" t="inlineStr">
        <is>
          <t>Monto</t>
        </is>
      </c>
    </row>
    <row r="268">
      <c r="A268" s="3" t="inlineStr">
        <is>
          <t>CORRIENTE</t>
        </is>
      </c>
      <c r="B268" s="4" t="n">
        <v>0</v>
      </c>
    </row>
    <row r="269">
      <c r="A269" s="5" t="inlineStr">
        <is>
          <t>Top 5</t>
        </is>
      </c>
    </row>
    <row r="270">
      <c r="A270" s="6" t="inlineStr">
        <is>
          <t>1er lugar</t>
        </is>
      </c>
    </row>
    <row r="271">
      <c r="A271" s="6" t="inlineStr">
        <is>
          <t>2o lugar</t>
        </is>
      </c>
    </row>
    <row r="272">
      <c r="A272" s="6" t="inlineStr">
        <is>
          <t>3er lugar</t>
        </is>
      </c>
    </row>
    <row r="273">
      <c r="A273" s="6" t="inlineStr">
        <is>
          <t>4o lugar</t>
        </is>
      </c>
    </row>
    <row r="274">
      <c r="A274" s="6" t="inlineStr">
        <is>
          <t>5o lugar</t>
        </is>
      </c>
    </row>
    <row r="275">
      <c r="A275" s="3" t="inlineStr">
        <is>
          <t>CANCEL</t>
        </is>
      </c>
      <c r="B275" s="4" t="n">
        <v>0</v>
      </c>
    </row>
    <row r="276">
      <c r="A276" s="5" t="inlineStr">
        <is>
          <t>Top 5</t>
        </is>
      </c>
    </row>
    <row r="277">
      <c r="A277" s="6" t="inlineStr">
        <is>
          <t>1er lugar</t>
        </is>
      </c>
    </row>
    <row r="278">
      <c r="A278" s="6" t="inlineStr">
        <is>
          <t>2o lugar</t>
        </is>
      </c>
    </row>
    <row r="279">
      <c r="A279" s="6" t="inlineStr">
        <is>
          <t>3er lugar</t>
        </is>
      </c>
    </row>
    <row r="280">
      <c r="A280" s="6" t="inlineStr">
        <is>
          <t>4o lugar</t>
        </is>
      </c>
    </row>
    <row r="281">
      <c r="A281" s="6" t="inlineStr">
        <is>
          <t>5o lugar</t>
        </is>
      </c>
    </row>
    <row r="282">
      <c r="A282" s="3" t="inlineStr">
        <is>
          <t>VENCIDA</t>
        </is>
      </c>
      <c r="B282" s="4" t="n">
        <v>0</v>
      </c>
    </row>
    <row r="283">
      <c r="A283" s="5" t="inlineStr">
        <is>
          <t>Top 5</t>
        </is>
      </c>
    </row>
    <row r="284">
      <c r="A284" s="6" t="inlineStr">
        <is>
          <t>1er lugar</t>
        </is>
      </c>
    </row>
    <row r="285">
      <c r="A285" s="6" t="inlineStr">
        <is>
          <t>2o lugar</t>
        </is>
      </c>
    </row>
    <row r="286">
      <c r="A286" s="6" t="inlineStr">
        <is>
          <t>3er lugar</t>
        </is>
      </c>
    </row>
    <row r="287">
      <c r="A287" s="6" t="inlineStr">
        <is>
          <t>4o lugar</t>
        </is>
      </c>
    </row>
    <row r="288">
      <c r="A288" s="6" t="inlineStr">
        <is>
          <t>5o lugar</t>
        </is>
      </c>
    </row>
    <row r="289">
      <c r="A289" s="3" t="inlineStr">
        <is>
          <t>EFECTIVA</t>
        </is>
      </c>
      <c r="B289" s="4" t="n">
        <v>0</v>
      </c>
    </row>
    <row r="290">
      <c r="A290" s="5" t="inlineStr">
        <is>
          <t>Top 5</t>
        </is>
      </c>
    </row>
    <row r="291">
      <c r="A291" s="6" t="inlineStr">
        <is>
          <t>1er lugar</t>
        </is>
      </c>
    </row>
    <row r="292">
      <c r="A292" s="6" t="inlineStr">
        <is>
          <t>2o lugar</t>
        </is>
      </c>
    </row>
    <row r="293">
      <c r="A293" s="6" t="inlineStr">
        <is>
          <t>3er lugar</t>
        </is>
      </c>
    </row>
    <row r="294">
      <c r="A294" s="6" t="inlineStr">
        <is>
          <t>4o lugar</t>
        </is>
      </c>
    </row>
    <row r="295">
      <c r="A295" s="6" t="inlineStr">
        <is>
          <t>5o lugar</t>
        </is>
      </c>
    </row>
    <row r="296">
      <c r="A296" s="3" t="inlineStr">
        <is>
          <t>RECUPERADA</t>
        </is>
      </c>
      <c r="B296" s="4" t="n">
        <v>0</v>
      </c>
    </row>
    <row r="297">
      <c r="A297" s="5" t="inlineStr">
        <is>
          <t>Top 5</t>
        </is>
      </c>
    </row>
    <row r="298">
      <c r="A298" s="6" t="inlineStr">
        <is>
          <t>1er lugar</t>
        </is>
      </c>
    </row>
    <row r="299">
      <c r="A299" s="6" t="inlineStr">
        <is>
          <t>2o lugar</t>
        </is>
      </c>
    </row>
    <row r="300">
      <c r="A300" s="6" t="inlineStr">
        <is>
          <t>3er lugar</t>
        </is>
      </c>
    </row>
    <row r="301">
      <c r="A301" s="6" t="inlineStr">
        <is>
          <t>4o lugar</t>
        </is>
      </c>
    </row>
    <row r="302">
      <c r="A302" s="6" t="inlineStr">
        <is>
          <t>5o lugar</t>
        </is>
      </c>
    </row>
    <row r="303">
      <c r="A303" s="3" t="inlineStr">
        <is>
          <t>TOTAL GRAL</t>
        </is>
      </c>
      <c r="B303" s="4" t="n">
        <v>0</v>
      </c>
    </row>
    <row r="304">
      <c r="A304" s="5" t="inlineStr">
        <is>
          <t>Top 5</t>
        </is>
      </c>
    </row>
    <row r="305">
      <c r="A305" s="6" t="inlineStr">
        <is>
          <t>1er lugar</t>
        </is>
      </c>
    </row>
    <row r="306">
      <c r="A306" s="6" t="inlineStr">
        <is>
          <t>2o lugar</t>
        </is>
      </c>
    </row>
    <row r="307">
      <c r="A307" s="6" t="inlineStr">
        <is>
          <t>3er lugar</t>
        </is>
      </c>
    </row>
    <row r="308">
      <c r="A308" s="6" t="inlineStr">
        <is>
          <t>4o lugar</t>
        </is>
      </c>
    </row>
    <row r="309">
      <c r="A309" s="6" t="inlineStr">
        <is>
          <t>5o lugar</t>
        </is>
      </c>
    </row>
    <row r="310">
      <c r="A310" s="3" t="inlineStr">
        <is>
          <t>ADELANTADA</t>
        </is>
      </c>
      <c r="B310" s="4" t="n">
        <v>0</v>
      </c>
    </row>
    <row r="311">
      <c r="A311" s="5" t="inlineStr">
        <is>
          <t>Top 5</t>
        </is>
      </c>
    </row>
    <row r="312">
      <c r="A312" s="6" t="inlineStr">
        <is>
          <t>1er lugar</t>
        </is>
      </c>
    </row>
    <row r="313">
      <c r="A313" s="6" t="inlineStr">
        <is>
          <t>2o lugar</t>
        </is>
      </c>
    </row>
    <row r="314">
      <c r="A314" s="6" t="inlineStr">
        <is>
          <t>3er lugar</t>
        </is>
      </c>
    </row>
    <row r="315">
      <c r="A315" s="6" t="inlineStr">
        <is>
          <t>4o lugar</t>
        </is>
      </c>
    </row>
    <row r="316">
      <c r="A316" s="6" t="inlineStr">
        <is>
          <t>5o lugar</t>
        </is>
      </c>
    </row>
    <row r="319">
      <c r="A319" s="1" t="inlineStr">
        <is>
          <t>JULIO 2026</t>
        </is>
      </c>
    </row>
    <row r="320">
      <c r="A320" s="2" t="inlineStr">
        <is>
          <t>CONCEPTO</t>
        </is>
      </c>
      <c r="B320" s="2" t="inlineStr">
        <is>
          <t>TOTAL ($)</t>
        </is>
      </c>
      <c r="C320" s="2" t="inlineStr">
        <is>
          <t>1er lugar</t>
        </is>
      </c>
      <c r="D320" s="2" t="inlineStr">
        <is>
          <t>Monto</t>
        </is>
      </c>
      <c r="E320" s="2" t="inlineStr">
        <is>
          <t>2o lugar</t>
        </is>
      </c>
      <c r="F320" s="2" t="inlineStr">
        <is>
          <t>Monto</t>
        </is>
      </c>
      <c r="G320" s="2" t="inlineStr">
        <is>
          <t>3er lugar</t>
        </is>
      </c>
      <c r="H320" s="2" t="inlineStr">
        <is>
          <t>Monto</t>
        </is>
      </c>
      <c r="I320" s="2" t="inlineStr">
        <is>
          <t>4o lugar</t>
        </is>
      </c>
      <c r="J320" s="2" t="inlineStr">
        <is>
          <t>Monto</t>
        </is>
      </c>
      <c r="K320" s="2" t="inlineStr">
        <is>
          <t>5o lugar</t>
        </is>
      </c>
      <c r="L320" s="2" t="inlineStr">
        <is>
          <t>Monto</t>
        </is>
      </c>
    </row>
    <row r="321">
      <c r="A321" s="3" t="inlineStr">
        <is>
          <t>CORRIENTE</t>
        </is>
      </c>
      <c r="B321" s="4" t="n">
        <v>0</v>
      </c>
    </row>
    <row r="322">
      <c r="A322" s="5" t="inlineStr">
        <is>
          <t>Top 5</t>
        </is>
      </c>
    </row>
    <row r="323">
      <c r="A323" s="6" t="inlineStr">
        <is>
          <t>1er lugar</t>
        </is>
      </c>
    </row>
    <row r="324">
      <c r="A324" s="6" t="inlineStr">
        <is>
          <t>2o lugar</t>
        </is>
      </c>
    </row>
    <row r="325">
      <c r="A325" s="6" t="inlineStr">
        <is>
          <t>3er lugar</t>
        </is>
      </c>
    </row>
    <row r="326">
      <c r="A326" s="6" t="inlineStr">
        <is>
          <t>4o lugar</t>
        </is>
      </c>
    </row>
    <row r="327">
      <c r="A327" s="6" t="inlineStr">
        <is>
          <t>5o lugar</t>
        </is>
      </c>
    </row>
    <row r="328">
      <c r="A328" s="3" t="inlineStr">
        <is>
          <t>CANCEL</t>
        </is>
      </c>
      <c r="B328" s="4" t="n">
        <v>0</v>
      </c>
    </row>
    <row r="329">
      <c r="A329" s="5" t="inlineStr">
        <is>
          <t>Top 5</t>
        </is>
      </c>
    </row>
    <row r="330">
      <c r="A330" s="6" t="inlineStr">
        <is>
          <t>1er lugar</t>
        </is>
      </c>
    </row>
    <row r="331">
      <c r="A331" s="6" t="inlineStr">
        <is>
          <t>2o lugar</t>
        </is>
      </c>
    </row>
    <row r="332">
      <c r="A332" s="6" t="inlineStr">
        <is>
          <t>3er lugar</t>
        </is>
      </c>
    </row>
    <row r="333">
      <c r="A333" s="6" t="inlineStr">
        <is>
          <t>4o lugar</t>
        </is>
      </c>
    </row>
    <row r="334">
      <c r="A334" s="6" t="inlineStr">
        <is>
          <t>5o lugar</t>
        </is>
      </c>
    </row>
    <row r="335">
      <c r="A335" s="3" t="inlineStr">
        <is>
          <t>VENCIDA</t>
        </is>
      </c>
      <c r="B335" s="4" t="n">
        <v>0</v>
      </c>
    </row>
    <row r="336">
      <c r="A336" s="5" t="inlineStr">
        <is>
          <t>Top 5</t>
        </is>
      </c>
    </row>
    <row r="337">
      <c r="A337" s="6" t="inlineStr">
        <is>
          <t>1er lugar</t>
        </is>
      </c>
    </row>
    <row r="338">
      <c r="A338" s="6" t="inlineStr">
        <is>
          <t>2o lugar</t>
        </is>
      </c>
    </row>
    <row r="339">
      <c r="A339" s="6" t="inlineStr">
        <is>
          <t>3er lugar</t>
        </is>
      </c>
    </row>
    <row r="340">
      <c r="A340" s="6" t="inlineStr">
        <is>
          <t>4o lugar</t>
        </is>
      </c>
    </row>
    <row r="341">
      <c r="A341" s="6" t="inlineStr">
        <is>
          <t>5o lugar</t>
        </is>
      </c>
    </row>
    <row r="342">
      <c r="A342" s="3" t="inlineStr">
        <is>
          <t>EFECTIVA</t>
        </is>
      </c>
      <c r="B342" s="4" t="n">
        <v>0</v>
      </c>
    </row>
    <row r="343">
      <c r="A343" s="5" t="inlineStr">
        <is>
          <t>Top 5</t>
        </is>
      </c>
    </row>
    <row r="344">
      <c r="A344" s="6" t="inlineStr">
        <is>
          <t>1er lugar</t>
        </is>
      </c>
    </row>
    <row r="345">
      <c r="A345" s="6" t="inlineStr">
        <is>
          <t>2o lugar</t>
        </is>
      </c>
    </row>
    <row r="346">
      <c r="A346" s="6" t="inlineStr">
        <is>
          <t>3er lugar</t>
        </is>
      </c>
    </row>
    <row r="347">
      <c r="A347" s="6" t="inlineStr">
        <is>
          <t>4o lugar</t>
        </is>
      </c>
    </row>
    <row r="348">
      <c r="A348" s="6" t="inlineStr">
        <is>
          <t>5o lugar</t>
        </is>
      </c>
    </row>
    <row r="349">
      <c r="A349" s="3" t="inlineStr">
        <is>
          <t>RECUPERADA</t>
        </is>
      </c>
      <c r="B349" s="4" t="n">
        <v>0</v>
      </c>
    </row>
    <row r="350">
      <c r="A350" s="5" t="inlineStr">
        <is>
          <t>Top 5</t>
        </is>
      </c>
    </row>
    <row r="351">
      <c r="A351" s="6" t="inlineStr">
        <is>
          <t>1er lugar</t>
        </is>
      </c>
    </row>
    <row r="352">
      <c r="A352" s="6" t="inlineStr">
        <is>
          <t>2o lugar</t>
        </is>
      </c>
    </row>
    <row r="353">
      <c r="A353" s="6" t="inlineStr">
        <is>
          <t>3er lugar</t>
        </is>
      </c>
    </row>
    <row r="354">
      <c r="A354" s="6" t="inlineStr">
        <is>
          <t>4o lugar</t>
        </is>
      </c>
    </row>
    <row r="355">
      <c r="A355" s="6" t="inlineStr">
        <is>
          <t>5o lugar</t>
        </is>
      </c>
    </row>
    <row r="356">
      <c r="A356" s="3" t="inlineStr">
        <is>
          <t>TOTAL GRAL</t>
        </is>
      </c>
      <c r="B356" s="4" t="n">
        <v>0</v>
      </c>
    </row>
    <row r="357">
      <c r="A357" s="5" t="inlineStr">
        <is>
          <t>Top 5</t>
        </is>
      </c>
    </row>
    <row r="358">
      <c r="A358" s="6" t="inlineStr">
        <is>
          <t>1er lugar</t>
        </is>
      </c>
    </row>
    <row r="359">
      <c r="A359" s="6" t="inlineStr">
        <is>
          <t>2o lugar</t>
        </is>
      </c>
    </row>
    <row r="360">
      <c r="A360" s="6" t="inlineStr">
        <is>
          <t>3er lugar</t>
        </is>
      </c>
    </row>
    <row r="361">
      <c r="A361" s="6" t="inlineStr">
        <is>
          <t>4o lugar</t>
        </is>
      </c>
    </row>
    <row r="362">
      <c r="A362" s="6" t="inlineStr">
        <is>
          <t>5o lugar</t>
        </is>
      </c>
    </row>
    <row r="363">
      <c r="A363" s="3" t="inlineStr">
        <is>
          <t>ADELANTADA</t>
        </is>
      </c>
      <c r="B363" s="4" t="n">
        <v>0</v>
      </c>
    </row>
    <row r="364">
      <c r="A364" s="5" t="inlineStr">
        <is>
          <t>Top 5</t>
        </is>
      </c>
    </row>
    <row r="365">
      <c r="A365" s="6" t="inlineStr">
        <is>
          <t>1er lugar</t>
        </is>
      </c>
    </row>
    <row r="366">
      <c r="A366" s="6" t="inlineStr">
        <is>
          <t>2o lugar</t>
        </is>
      </c>
    </row>
    <row r="367">
      <c r="A367" s="6" t="inlineStr">
        <is>
          <t>3er lugar</t>
        </is>
      </c>
    </row>
    <row r="368">
      <c r="A368" s="6" t="inlineStr">
        <is>
          <t>4o lugar</t>
        </is>
      </c>
    </row>
    <row r="369">
      <c r="A369" s="6" t="inlineStr">
        <is>
          <t>5o lugar</t>
        </is>
      </c>
    </row>
    <row r="372">
      <c r="A372" s="1" t="inlineStr">
        <is>
          <t>AGOSTO 2026</t>
        </is>
      </c>
    </row>
    <row r="373">
      <c r="A373" s="2" t="inlineStr">
        <is>
          <t>CONCEPTO</t>
        </is>
      </c>
      <c r="B373" s="2" t="inlineStr">
        <is>
          <t>TOTAL ($)</t>
        </is>
      </c>
      <c r="C373" s="2" t="inlineStr">
        <is>
          <t>1er lugar</t>
        </is>
      </c>
      <c r="D373" s="2" t="inlineStr">
        <is>
          <t>Monto</t>
        </is>
      </c>
      <c r="E373" s="2" t="inlineStr">
        <is>
          <t>2o lugar</t>
        </is>
      </c>
      <c r="F373" s="2" t="inlineStr">
        <is>
          <t>Monto</t>
        </is>
      </c>
      <c r="G373" s="2" t="inlineStr">
        <is>
          <t>3er lugar</t>
        </is>
      </c>
      <c r="H373" s="2" t="inlineStr">
        <is>
          <t>Monto</t>
        </is>
      </c>
      <c r="I373" s="2" t="inlineStr">
        <is>
          <t>4o lugar</t>
        </is>
      </c>
      <c r="J373" s="2" t="inlineStr">
        <is>
          <t>Monto</t>
        </is>
      </c>
      <c r="K373" s="2" t="inlineStr">
        <is>
          <t>5o lugar</t>
        </is>
      </c>
      <c r="L373" s="2" t="inlineStr">
        <is>
          <t>Monto</t>
        </is>
      </c>
    </row>
    <row r="374">
      <c r="A374" s="3" t="inlineStr">
        <is>
          <t>CORRIENTE</t>
        </is>
      </c>
      <c r="B374" s="4" t="n">
        <v>0</v>
      </c>
    </row>
    <row r="375">
      <c r="A375" s="5" t="inlineStr">
        <is>
          <t>Top 5</t>
        </is>
      </c>
    </row>
    <row r="376">
      <c r="A376" s="6" t="inlineStr">
        <is>
          <t>1er lugar</t>
        </is>
      </c>
    </row>
    <row r="377">
      <c r="A377" s="6" t="inlineStr">
        <is>
          <t>2o lugar</t>
        </is>
      </c>
    </row>
    <row r="378">
      <c r="A378" s="6" t="inlineStr">
        <is>
          <t>3er lugar</t>
        </is>
      </c>
    </row>
    <row r="379">
      <c r="A379" s="6" t="inlineStr">
        <is>
          <t>4o lugar</t>
        </is>
      </c>
    </row>
    <row r="380">
      <c r="A380" s="6" t="inlineStr">
        <is>
          <t>5o lugar</t>
        </is>
      </c>
    </row>
    <row r="381">
      <c r="A381" s="3" t="inlineStr">
        <is>
          <t>CANCEL</t>
        </is>
      </c>
      <c r="B381" s="4" t="n">
        <v>0</v>
      </c>
    </row>
    <row r="382">
      <c r="A382" s="5" t="inlineStr">
        <is>
          <t>Top 5</t>
        </is>
      </c>
    </row>
    <row r="383">
      <c r="A383" s="6" t="inlineStr">
        <is>
          <t>1er lugar</t>
        </is>
      </c>
    </row>
    <row r="384">
      <c r="A384" s="6" t="inlineStr">
        <is>
          <t>2o lugar</t>
        </is>
      </c>
    </row>
    <row r="385">
      <c r="A385" s="6" t="inlineStr">
        <is>
          <t>3er lugar</t>
        </is>
      </c>
    </row>
    <row r="386">
      <c r="A386" s="6" t="inlineStr">
        <is>
          <t>4o lugar</t>
        </is>
      </c>
    </row>
    <row r="387">
      <c r="A387" s="6" t="inlineStr">
        <is>
          <t>5o lugar</t>
        </is>
      </c>
    </row>
    <row r="388">
      <c r="A388" s="3" t="inlineStr">
        <is>
          <t>VENCIDA</t>
        </is>
      </c>
      <c r="B388" s="4" t="n">
        <v>0</v>
      </c>
    </row>
    <row r="389">
      <c r="A389" s="5" t="inlineStr">
        <is>
          <t>Top 5</t>
        </is>
      </c>
    </row>
    <row r="390">
      <c r="A390" s="6" t="inlineStr">
        <is>
          <t>1er lugar</t>
        </is>
      </c>
    </row>
    <row r="391">
      <c r="A391" s="6" t="inlineStr">
        <is>
          <t>2o lugar</t>
        </is>
      </c>
    </row>
    <row r="392">
      <c r="A392" s="6" t="inlineStr">
        <is>
          <t>3er lugar</t>
        </is>
      </c>
    </row>
    <row r="393">
      <c r="A393" s="6" t="inlineStr">
        <is>
          <t>4o lugar</t>
        </is>
      </c>
    </row>
    <row r="394">
      <c r="A394" s="6" t="inlineStr">
        <is>
          <t>5o lugar</t>
        </is>
      </c>
    </row>
    <row r="395">
      <c r="A395" s="3" t="inlineStr">
        <is>
          <t>EFECTIVA</t>
        </is>
      </c>
      <c r="B395" s="4" t="n">
        <v>0</v>
      </c>
    </row>
    <row r="396">
      <c r="A396" s="5" t="inlineStr">
        <is>
          <t>Top 5</t>
        </is>
      </c>
    </row>
    <row r="397">
      <c r="A397" s="6" t="inlineStr">
        <is>
          <t>1er lugar</t>
        </is>
      </c>
    </row>
    <row r="398">
      <c r="A398" s="6" t="inlineStr">
        <is>
          <t>2o lugar</t>
        </is>
      </c>
    </row>
    <row r="399">
      <c r="A399" s="6" t="inlineStr">
        <is>
          <t>3er lugar</t>
        </is>
      </c>
    </row>
    <row r="400">
      <c r="A400" s="6" t="inlineStr">
        <is>
          <t>4o lugar</t>
        </is>
      </c>
    </row>
    <row r="401">
      <c r="A401" s="6" t="inlineStr">
        <is>
          <t>5o lugar</t>
        </is>
      </c>
    </row>
    <row r="402">
      <c r="A402" s="3" t="inlineStr">
        <is>
          <t>RECUPERADA</t>
        </is>
      </c>
      <c r="B402" s="4" t="n">
        <v>0</v>
      </c>
    </row>
    <row r="403">
      <c r="A403" s="5" t="inlineStr">
        <is>
          <t>Top 5</t>
        </is>
      </c>
    </row>
    <row r="404">
      <c r="A404" s="6" t="inlineStr">
        <is>
          <t>1er lugar</t>
        </is>
      </c>
    </row>
    <row r="405">
      <c r="A405" s="6" t="inlineStr">
        <is>
          <t>2o lugar</t>
        </is>
      </c>
    </row>
    <row r="406">
      <c r="A406" s="6" t="inlineStr">
        <is>
          <t>3er lugar</t>
        </is>
      </c>
    </row>
    <row r="407">
      <c r="A407" s="6" t="inlineStr">
        <is>
          <t>4o lugar</t>
        </is>
      </c>
    </row>
    <row r="408">
      <c r="A408" s="6" t="inlineStr">
        <is>
          <t>5o lugar</t>
        </is>
      </c>
    </row>
    <row r="409">
      <c r="A409" s="3" t="inlineStr">
        <is>
          <t>TOTAL GRAL</t>
        </is>
      </c>
      <c r="B409" s="4" t="n">
        <v>0</v>
      </c>
    </row>
    <row r="410">
      <c r="A410" s="5" t="inlineStr">
        <is>
          <t>Top 5</t>
        </is>
      </c>
    </row>
    <row r="411">
      <c r="A411" s="6" t="inlineStr">
        <is>
          <t>1er lugar</t>
        </is>
      </c>
    </row>
    <row r="412">
      <c r="A412" s="6" t="inlineStr">
        <is>
          <t>2o lugar</t>
        </is>
      </c>
    </row>
    <row r="413">
      <c r="A413" s="6" t="inlineStr">
        <is>
          <t>3er lugar</t>
        </is>
      </c>
    </row>
    <row r="414">
      <c r="A414" s="6" t="inlineStr">
        <is>
          <t>4o lugar</t>
        </is>
      </c>
    </row>
    <row r="415">
      <c r="A415" s="6" t="inlineStr">
        <is>
          <t>5o lugar</t>
        </is>
      </c>
    </row>
    <row r="416">
      <c r="A416" s="3" t="inlineStr">
        <is>
          <t>ADELANTADA</t>
        </is>
      </c>
      <c r="B416" s="4" t="n">
        <v>0</v>
      </c>
    </row>
    <row r="417">
      <c r="A417" s="5" t="inlineStr">
        <is>
          <t>Top 5</t>
        </is>
      </c>
    </row>
    <row r="418">
      <c r="A418" s="6" t="inlineStr">
        <is>
          <t>1er lugar</t>
        </is>
      </c>
    </row>
    <row r="419">
      <c r="A419" s="6" t="inlineStr">
        <is>
          <t>2o lugar</t>
        </is>
      </c>
    </row>
    <row r="420">
      <c r="A420" s="6" t="inlineStr">
        <is>
          <t>3er lugar</t>
        </is>
      </c>
    </row>
    <row r="421">
      <c r="A421" s="6" t="inlineStr">
        <is>
          <t>4o lugar</t>
        </is>
      </c>
    </row>
    <row r="422">
      <c r="A422" s="6" t="inlineStr">
        <is>
          <t>5o lugar</t>
        </is>
      </c>
    </row>
    <row r="425">
      <c r="A425" s="1" t="inlineStr">
        <is>
          <t>SEPTIEMBRE 2026</t>
        </is>
      </c>
    </row>
    <row r="426">
      <c r="A426" s="2" t="inlineStr">
        <is>
          <t>CONCEPTO</t>
        </is>
      </c>
      <c r="B426" s="2" t="inlineStr">
        <is>
          <t>TOTAL ($)</t>
        </is>
      </c>
      <c r="C426" s="2" t="inlineStr">
        <is>
          <t>1er lugar</t>
        </is>
      </c>
      <c r="D426" s="2" t="inlineStr">
        <is>
          <t>Monto</t>
        </is>
      </c>
      <c r="E426" s="2" t="inlineStr">
        <is>
          <t>2o lugar</t>
        </is>
      </c>
      <c r="F426" s="2" t="inlineStr">
        <is>
          <t>Monto</t>
        </is>
      </c>
      <c r="G426" s="2" t="inlineStr">
        <is>
          <t>3er lugar</t>
        </is>
      </c>
      <c r="H426" s="2" t="inlineStr">
        <is>
          <t>Monto</t>
        </is>
      </c>
      <c r="I426" s="2" t="inlineStr">
        <is>
          <t>4o lugar</t>
        </is>
      </c>
      <c r="J426" s="2" t="inlineStr">
        <is>
          <t>Monto</t>
        </is>
      </c>
      <c r="K426" s="2" t="inlineStr">
        <is>
          <t>5o lugar</t>
        </is>
      </c>
      <c r="L426" s="2" t="inlineStr">
        <is>
          <t>Monto</t>
        </is>
      </c>
    </row>
    <row r="427">
      <c r="A427" s="3" t="inlineStr">
        <is>
          <t>CORRIENTE</t>
        </is>
      </c>
      <c r="B427" s="4" t="n">
        <v>0</v>
      </c>
    </row>
    <row r="428">
      <c r="A428" s="5" t="inlineStr">
        <is>
          <t>Top 5</t>
        </is>
      </c>
    </row>
    <row r="429">
      <c r="A429" s="6" t="inlineStr">
        <is>
          <t>1er lugar</t>
        </is>
      </c>
    </row>
    <row r="430">
      <c r="A430" s="6" t="inlineStr">
        <is>
          <t>2o lugar</t>
        </is>
      </c>
    </row>
    <row r="431">
      <c r="A431" s="6" t="inlineStr">
        <is>
          <t>3er lugar</t>
        </is>
      </c>
    </row>
    <row r="432">
      <c r="A432" s="6" t="inlineStr">
        <is>
          <t>4o lugar</t>
        </is>
      </c>
    </row>
    <row r="433">
      <c r="A433" s="6" t="inlineStr">
        <is>
          <t>5o lugar</t>
        </is>
      </c>
    </row>
    <row r="434">
      <c r="A434" s="3" t="inlineStr">
        <is>
          <t>CANCEL</t>
        </is>
      </c>
      <c r="B434" s="4" t="n">
        <v>0</v>
      </c>
    </row>
    <row r="435">
      <c r="A435" s="5" t="inlineStr">
        <is>
          <t>Top 5</t>
        </is>
      </c>
    </row>
    <row r="436">
      <c r="A436" s="6" t="inlineStr">
        <is>
          <t>1er lugar</t>
        </is>
      </c>
    </row>
    <row r="437">
      <c r="A437" s="6" t="inlineStr">
        <is>
          <t>2o lugar</t>
        </is>
      </c>
    </row>
    <row r="438">
      <c r="A438" s="6" t="inlineStr">
        <is>
          <t>3er lugar</t>
        </is>
      </c>
    </row>
    <row r="439">
      <c r="A439" s="6" t="inlineStr">
        <is>
          <t>4o lugar</t>
        </is>
      </c>
    </row>
    <row r="440">
      <c r="A440" s="6" t="inlineStr">
        <is>
          <t>5o lugar</t>
        </is>
      </c>
    </row>
    <row r="441">
      <c r="A441" s="3" t="inlineStr">
        <is>
          <t>VENCIDA</t>
        </is>
      </c>
      <c r="B441" s="4" t="n">
        <v>0</v>
      </c>
    </row>
    <row r="442">
      <c r="A442" s="5" t="inlineStr">
        <is>
          <t>Top 5</t>
        </is>
      </c>
    </row>
    <row r="443">
      <c r="A443" s="6" t="inlineStr">
        <is>
          <t>1er lugar</t>
        </is>
      </c>
    </row>
    <row r="444">
      <c r="A444" s="6" t="inlineStr">
        <is>
          <t>2o lugar</t>
        </is>
      </c>
    </row>
    <row r="445">
      <c r="A445" s="6" t="inlineStr">
        <is>
          <t>3er lugar</t>
        </is>
      </c>
    </row>
    <row r="446">
      <c r="A446" s="6" t="inlineStr">
        <is>
          <t>4o lugar</t>
        </is>
      </c>
    </row>
    <row r="447">
      <c r="A447" s="6" t="inlineStr">
        <is>
          <t>5o lugar</t>
        </is>
      </c>
    </row>
    <row r="448">
      <c r="A448" s="3" t="inlineStr">
        <is>
          <t>EFECTIVA</t>
        </is>
      </c>
      <c r="B448" s="4" t="n">
        <v>0</v>
      </c>
    </row>
    <row r="449">
      <c r="A449" s="5" t="inlineStr">
        <is>
          <t>Top 5</t>
        </is>
      </c>
    </row>
    <row r="450">
      <c r="A450" s="6" t="inlineStr">
        <is>
          <t>1er lugar</t>
        </is>
      </c>
    </row>
    <row r="451">
      <c r="A451" s="6" t="inlineStr">
        <is>
          <t>2o lugar</t>
        </is>
      </c>
    </row>
    <row r="452">
      <c r="A452" s="6" t="inlineStr">
        <is>
          <t>3er lugar</t>
        </is>
      </c>
    </row>
    <row r="453">
      <c r="A453" s="6" t="inlineStr">
        <is>
          <t>4o lugar</t>
        </is>
      </c>
    </row>
    <row r="454">
      <c r="A454" s="6" t="inlineStr">
        <is>
          <t>5o lugar</t>
        </is>
      </c>
    </row>
    <row r="455">
      <c r="A455" s="3" t="inlineStr">
        <is>
          <t>RECUPERADA</t>
        </is>
      </c>
      <c r="B455" s="4" t="n">
        <v>0</v>
      </c>
    </row>
    <row r="456">
      <c r="A456" s="5" t="inlineStr">
        <is>
          <t>Top 5</t>
        </is>
      </c>
    </row>
    <row r="457">
      <c r="A457" s="6" t="inlineStr">
        <is>
          <t>1er lugar</t>
        </is>
      </c>
    </row>
    <row r="458">
      <c r="A458" s="6" t="inlineStr">
        <is>
          <t>2o lugar</t>
        </is>
      </c>
    </row>
    <row r="459">
      <c r="A459" s="6" t="inlineStr">
        <is>
          <t>3er lugar</t>
        </is>
      </c>
    </row>
    <row r="460">
      <c r="A460" s="6" t="inlineStr">
        <is>
          <t>4o lugar</t>
        </is>
      </c>
    </row>
    <row r="461">
      <c r="A461" s="6" t="inlineStr">
        <is>
          <t>5o lugar</t>
        </is>
      </c>
    </row>
    <row r="462">
      <c r="A462" s="3" t="inlineStr">
        <is>
          <t>TOTAL GRAL</t>
        </is>
      </c>
      <c r="B462" s="4" t="n">
        <v>0</v>
      </c>
    </row>
    <row r="463">
      <c r="A463" s="5" t="inlineStr">
        <is>
          <t>Top 5</t>
        </is>
      </c>
    </row>
    <row r="464">
      <c r="A464" s="6" t="inlineStr">
        <is>
          <t>1er lugar</t>
        </is>
      </c>
    </row>
    <row r="465">
      <c r="A465" s="6" t="inlineStr">
        <is>
          <t>2o lugar</t>
        </is>
      </c>
    </row>
    <row r="466">
      <c r="A466" s="6" t="inlineStr">
        <is>
          <t>3er lugar</t>
        </is>
      </c>
    </row>
    <row r="467">
      <c r="A467" s="6" t="inlineStr">
        <is>
          <t>4o lugar</t>
        </is>
      </c>
    </row>
    <row r="468">
      <c r="A468" s="6" t="inlineStr">
        <is>
          <t>5o lugar</t>
        </is>
      </c>
    </row>
    <row r="469">
      <c r="A469" s="3" t="inlineStr">
        <is>
          <t>ADELANTADA</t>
        </is>
      </c>
      <c r="B469" s="4" t="n">
        <v>0</v>
      </c>
    </row>
    <row r="470">
      <c r="A470" s="5" t="inlineStr">
        <is>
          <t>Top 5</t>
        </is>
      </c>
    </row>
    <row r="471">
      <c r="A471" s="6" t="inlineStr">
        <is>
          <t>1er lugar</t>
        </is>
      </c>
    </row>
    <row r="472">
      <c r="A472" s="6" t="inlineStr">
        <is>
          <t>2o lugar</t>
        </is>
      </c>
    </row>
    <row r="473">
      <c r="A473" s="6" t="inlineStr">
        <is>
          <t>3er lugar</t>
        </is>
      </c>
    </row>
    <row r="474">
      <c r="A474" s="6" t="inlineStr">
        <is>
          <t>4o lugar</t>
        </is>
      </c>
    </row>
    <row r="475">
      <c r="A475" s="6" t="inlineStr">
        <is>
          <t>5o lugar</t>
        </is>
      </c>
    </row>
    <row r="478">
      <c r="A478" s="1" t="inlineStr">
        <is>
          <t>OCTUBRE 2026</t>
        </is>
      </c>
    </row>
    <row r="479">
      <c r="A479" s="2" t="inlineStr">
        <is>
          <t>CONCEPTO</t>
        </is>
      </c>
      <c r="B479" s="2" t="inlineStr">
        <is>
          <t>TOTAL ($)</t>
        </is>
      </c>
      <c r="C479" s="2" t="inlineStr">
        <is>
          <t>1er lugar</t>
        </is>
      </c>
      <c r="D479" s="2" t="inlineStr">
        <is>
          <t>Monto</t>
        </is>
      </c>
      <c r="E479" s="2" t="inlineStr">
        <is>
          <t>2o lugar</t>
        </is>
      </c>
      <c r="F479" s="2" t="inlineStr">
        <is>
          <t>Monto</t>
        </is>
      </c>
      <c r="G479" s="2" t="inlineStr">
        <is>
          <t>3er lugar</t>
        </is>
      </c>
      <c r="H479" s="2" t="inlineStr">
        <is>
          <t>Monto</t>
        </is>
      </c>
      <c r="I479" s="2" t="inlineStr">
        <is>
          <t>4o lugar</t>
        </is>
      </c>
      <c r="J479" s="2" t="inlineStr">
        <is>
          <t>Monto</t>
        </is>
      </c>
      <c r="K479" s="2" t="inlineStr">
        <is>
          <t>5o lugar</t>
        </is>
      </c>
      <c r="L479" s="2" t="inlineStr">
        <is>
          <t>Monto</t>
        </is>
      </c>
    </row>
    <row r="480">
      <c r="A480" s="3" t="inlineStr">
        <is>
          <t>CORRIENTE</t>
        </is>
      </c>
      <c r="B480" s="4" t="n">
        <v>0</v>
      </c>
    </row>
    <row r="481">
      <c r="A481" s="5" t="inlineStr">
        <is>
          <t>Top 5</t>
        </is>
      </c>
    </row>
    <row r="482">
      <c r="A482" s="6" t="inlineStr">
        <is>
          <t>1er lugar</t>
        </is>
      </c>
    </row>
    <row r="483">
      <c r="A483" s="6" t="inlineStr">
        <is>
          <t>2o lugar</t>
        </is>
      </c>
    </row>
    <row r="484">
      <c r="A484" s="6" t="inlineStr">
        <is>
          <t>3er lugar</t>
        </is>
      </c>
    </row>
    <row r="485">
      <c r="A485" s="6" t="inlineStr">
        <is>
          <t>4o lugar</t>
        </is>
      </c>
    </row>
    <row r="486">
      <c r="A486" s="6" t="inlineStr">
        <is>
          <t>5o lugar</t>
        </is>
      </c>
    </row>
    <row r="487">
      <c r="A487" s="3" t="inlineStr">
        <is>
          <t>CANCEL</t>
        </is>
      </c>
      <c r="B487" s="4" t="n">
        <v>0</v>
      </c>
    </row>
    <row r="488">
      <c r="A488" s="5" t="inlineStr">
        <is>
          <t>Top 5</t>
        </is>
      </c>
    </row>
    <row r="489">
      <c r="A489" s="6" t="inlineStr">
        <is>
          <t>1er lugar</t>
        </is>
      </c>
    </row>
    <row r="490">
      <c r="A490" s="6" t="inlineStr">
        <is>
          <t>2o lugar</t>
        </is>
      </c>
    </row>
    <row r="491">
      <c r="A491" s="6" t="inlineStr">
        <is>
          <t>3er lugar</t>
        </is>
      </c>
    </row>
    <row r="492">
      <c r="A492" s="6" t="inlineStr">
        <is>
          <t>4o lugar</t>
        </is>
      </c>
    </row>
    <row r="493">
      <c r="A493" s="6" t="inlineStr">
        <is>
          <t>5o lugar</t>
        </is>
      </c>
    </row>
    <row r="494">
      <c r="A494" s="3" t="inlineStr">
        <is>
          <t>VENCIDA</t>
        </is>
      </c>
      <c r="B494" s="4" t="n">
        <v>0</v>
      </c>
    </row>
    <row r="495">
      <c r="A495" s="5" t="inlineStr">
        <is>
          <t>Top 5</t>
        </is>
      </c>
    </row>
    <row r="496">
      <c r="A496" s="6" t="inlineStr">
        <is>
          <t>1er lugar</t>
        </is>
      </c>
    </row>
    <row r="497">
      <c r="A497" s="6" t="inlineStr">
        <is>
          <t>2o lugar</t>
        </is>
      </c>
    </row>
    <row r="498">
      <c r="A498" s="6" t="inlineStr">
        <is>
          <t>3er lugar</t>
        </is>
      </c>
    </row>
    <row r="499">
      <c r="A499" s="6" t="inlineStr">
        <is>
          <t>4o lugar</t>
        </is>
      </c>
    </row>
    <row r="500">
      <c r="A500" s="6" t="inlineStr">
        <is>
          <t>5o lugar</t>
        </is>
      </c>
    </row>
    <row r="501">
      <c r="A501" s="3" t="inlineStr">
        <is>
          <t>EFECTIVA</t>
        </is>
      </c>
      <c r="B501" s="4" t="n">
        <v>0</v>
      </c>
    </row>
    <row r="502">
      <c r="A502" s="5" t="inlineStr">
        <is>
          <t>Top 5</t>
        </is>
      </c>
    </row>
    <row r="503">
      <c r="A503" s="6" t="inlineStr">
        <is>
          <t>1er lugar</t>
        </is>
      </c>
    </row>
    <row r="504">
      <c r="A504" s="6" t="inlineStr">
        <is>
          <t>2o lugar</t>
        </is>
      </c>
    </row>
    <row r="505">
      <c r="A505" s="6" t="inlineStr">
        <is>
          <t>3er lugar</t>
        </is>
      </c>
    </row>
    <row r="506">
      <c r="A506" s="6" t="inlineStr">
        <is>
          <t>4o lugar</t>
        </is>
      </c>
    </row>
    <row r="507">
      <c r="A507" s="6" t="inlineStr">
        <is>
          <t>5o lugar</t>
        </is>
      </c>
    </row>
    <row r="508">
      <c r="A508" s="3" t="inlineStr">
        <is>
          <t>RECUPERADA</t>
        </is>
      </c>
      <c r="B508" s="4" t="n">
        <v>0</v>
      </c>
    </row>
    <row r="509">
      <c r="A509" s="5" t="inlineStr">
        <is>
          <t>Top 5</t>
        </is>
      </c>
    </row>
    <row r="510">
      <c r="A510" s="6" t="inlineStr">
        <is>
          <t>1er lugar</t>
        </is>
      </c>
    </row>
    <row r="511">
      <c r="A511" s="6" t="inlineStr">
        <is>
          <t>2o lugar</t>
        </is>
      </c>
    </row>
    <row r="512">
      <c r="A512" s="6" t="inlineStr">
        <is>
          <t>3er lugar</t>
        </is>
      </c>
    </row>
    <row r="513">
      <c r="A513" s="6" t="inlineStr">
        <is>
          <t>4o lugar</t>
        </is>
      </c>
    </row>
    <row r="514">
      <c r="A514" s="6" t="inlineStr">
        <is>
          <t>5o lugar</t>
        </is>
      </c>
    </row>
    <row r="515">
      <c r="A515" s="3" t="inlineStr">
        <is>
          <t>TOTAL GRAL</t>
        </is>
      </c>
      <c r="B515" s="4" t="n">
        <v>0</v>
      </c>
    </row>
    <row r="516">
      <c r="A516" s="5" t="inlineStr">
        <is>
          <t>Top 5</t>
        </is>
      </c>
    </row>
    <row r="517">
      <c r="A517" s="6" t="inlineStr">
        <is>
          <t>1er lugar</t>
        </is>
      </c>
    </row>
    <row r="518">
      <c r="A518" s="6" t="inlineStr">
        <is>
          <t>2o lugar</t>
        </is>
      </c>
    </row>
    <row r="519">
      <c r="A519" s="6" t="inlineStr">
        <is>
          <t>3er lugar</t>
        </is>
      </c>
    </row>
    <row r="520">
      <c r="A520" s="6" t="inlineStr">
        <is>
          <t>4o lugar</t>
        </is>
      </c>
    </row>
    <row r="521">
      <c r="A521" s="6" t="inlineStr">
        <is>
          <t>5o lugar</t>
        </is>
      </c>
    </row>
    <row r="522">
      <c r="A522" s="3" t="inlineStr">
        <is>
          <t>ADELANTADA</t>
        </is>
      </c>
      <c r="B522" s="4" t="n">
        <v>0</v>
      </c>
    </row>
    <row r="523">
      <c r="A523" s="5" t="inlineStr">
        <is>
          <t>Top 5</t>
        </is>
      </c>
    </row>
    <row r="524">
      <c r="A524" s="6" t="inlineStr">
        <is>
          <t>1er lugar</t>
        </is>
      </c>
    </row>
    <row r="525">
      <c r="A525" s="6" t="inlineStr">
        <is>
          <t>2o lugar</t>
        </is>
      </c>
    </row>
    <row r="526">
      <c r="A526" s="6" t="inlineStr">
        <is>
          <t>3er lugar</t>
        </is>
      </c>
    </row>
    <row r="527">
      <c r="A527" s="6" t="inlineStr">
        <is>
          <t>4o lugar</t>
        </is>
      </c>
    </row>
    <row r="528">
      <c r="A528" s="6" t="inlineStr">
        <is>
          <t>5o lugar</t>
        </is>
      </c>
    </row>
    <row r="531">
      <c r="A531" s="1" t="inlineStr">
        <is>
          <t>NOVIEMBRE 2026</t>
        </is>
      </c>
    </row>
    <row r="532">
      <c r="A532" s="2" t="inlineStr">
        <is>
          <t>CONCEPTO</t>
        </is>
      </c>
      <c r="B532" s="2" t="inlineStr">
        <is>
          <t>TOTAL ($)</t>
        </is>
      </c>
      <c r="C532" s="2" t="inlineStr">
        <is>
          <t>1er lugar</t>
        </is>
      </c>
      <c r="D532" s="2" t="inlineStr">
        <is>
          <t>Monto</t>
        </is>
      </c>
      <c r="E532" s="2" t="inlineStr">
        <is>
          <t>2o lugar</t>
        </is>
      </c>
      <c r="F532" s="2" t="inlineStr">
        <is>
          <t>Monto</t>
        </is>
      </c>
      <c r="G532" s="2" t="inlineStr">
        <is>
          <t>3er lugar</t>
        </is>
      </c>
      <c r="H532" s="2" t="inlineStr">
        <is>
          <t>Monto</t>
        </is>
      </c>
      <c r="I532" s="2" t="inlineStr">
        <is>
          <t>4o lugar</t>
        </is>
      </c>
      <c r="J532" s="2" t="inlineStr">
        <is>
          <t>Monto</t>
        </is>
      </c>
      <c r="K532" s="2" t="inlineStr">
        <is>
          <t>5o lugar</t>
        </is>
      </c>
      <c r="L532" s="2" t="inlineStr">
        <is>
          <t>Monto</t>
        </is>
      </c>
    </row>
    <row r="533">
      <c r="A533" s="3" t="inlineStr">
        <is>
          <t>CORRIENTE</t>
        </is>
      </c>
      <c r="B533" s="4" t="n">
        <v>0</v>
      </c>
    </row>
    <row r="534">
      <c r="A534" s="5" t="inlineStr">
        <is>
          <t>Top 5</t>
        </is>
      </c>
    </row>
    <row r="535">
      <c r="A535" s="6" t="inlineStr">
        <is>
          <t>1er lugar</t>
        </is>
      </c>
    </row>
    <row r="536">
      <c r="A536" s="6" t="inlineStr">
        <is>
          <t>2o lugar</t>
        </is>
      </c>
    </row>
    <row r="537">
      <c r="A537" s="6" t="inlineStr">
        <is>
          <t>3er lugar</t>
        </is>
      </c>
    </row>
    <row r="538">
      <c r="A538" s="6" t="inlineStr">
        <is>
          <t>4o lugar</t>
        </is>
      </c>
    </row>
    <row r="539">
      <c r="A539" s="6" t="inlineStr">
        <is>
          <t>5o lugar</t>
        </is>
      </c>
    </row>
    <row r="540">
      <c r="A540" s="3" t="inlineStr">
        <is>
          <t>CANCEL</t>
        </is>
      </c>
      <c r="B540" s="4" t="n">
        <v>0</v>
      </c>
    </row>
    <row r="541">
      <c r="A541" s="5" t="inlineStr">
        <is>
          <t>Top 5</t>
        </is>
      </c>
    </row>
    <row r="542">
      <c r="A542" s="6" t="inlineStr">
        <is>
          <t>1er lugar</t>
        </is>
      </c>
    </row>
    <row r="543">
      <c r="A543" s="6" t="inlineStr">
        <is>
          <t>2o lugar</t>
        </is>
      </c>
    </row>
    <row r="544">
      <c r="A544" s="6" t="inlineStr">
        <is>
          <t>3er lugar</t>
        </is>
      </c>
    </row>
    <row r="545">
      <c r="A545" s="6" t="inlineStr">
        <is>
          <t>4o lugar</t>
        </is>
      </c>
    </row>
    <row r="546">
      <c r="A546" s="6" t="inlineStr">
        <is>
          <t>5o lugar</t>
        </is>
      </c>
    </row>
    <row r="547">
      <c r="A547" s="3" t="inlineStr">
        <is>
          <t>VENCIDA</t>
        </is>
      </c>
      <c r="B547" s="4" t="n">
        <v>0</v>
      </c>
    </row>
    <row r="548">
      <c r="A548" s="5" t="inlineStr">
        <is>
          <t>Top 5</t>
        </is>
      </c>
    </row>
    <row r="549">
      <c r="A549" s="6" t="inlineStr">
        <is>
          <t>1er lugar</t>
        </is>
      </c>
    </row>
    <row r="550">
      <c r="A550" s="6" t="inlineStr">
        <is>
          <t>2o lugar</t>
        </is>
      </c>
    </row>
    <row r="551">
      <c r="A551" s="6" t="inlineStr">
        <is>
          <t>3er lugar</t>
        </is>
      </c>
    </row>
    <row r="552">
      <c r="A552" s="6" t="inlineStr">
        <is>
          <t>4o lugar</t>
        </is>
      </c>
    </row>
    <row r="553">
      <c r="A553" s="6" t="inlineStr">
        <is>
          <t>5o lugar</t>
        </is>
      </c>
    </row>
    <row r="554">
      <c r="A554" s="3" t="inlineStr">
        <is>
          <t>EFECTIVA</t>
        </is>
      </c>
      <c r="B554" s="4" t="n">
        <v>0</v>
      </c>
    </row>
    <row r="555">
      <c r="A555" s="5" t="inlineStr">
        <is>
          <t>Top 5</t>
        </is>
      </c>
    </row>
    <row r="556">
      <c r="A556" s="6" t="inlineStr">
        <is>
          <t>1er lugar</t>
        </is>
      </c>
    </row>
    <row r="557">
      <c r="A557" s="6" t="inlineStr">
        <is>
          <t>2o lugar</t>
        </is>
      </c>
    </row>
    <row r="558">
      <c r="A558" s="6" t="inlineStr">
        <is>
          <t>3er lugar</t>
        </is>
      </c>
    </row>
    <row r="559">
      <c r="A559" s="6" t="inlineStr">
        <is>
          <t>4o lugar</t>
        </is>
      </c>
    </row>
    <row r="560">
      <c r="A560" s="6" t="inlineStr">
        <is>
          <t>5o lugar</t>
        </is>
      </c>
    </row>
    <row r="561">
      <c r="A561" s="3" t="inlineStr">
        <is>
          <t>RECUPERADA</t>
        </is>
      </c>
      <c r="B561" s="4" t="n">
        <v>0</v>
      </c>
    </row>
    <row r="562">
      <c r="A562" s="5" t="inlineStr">
        <is>
          <t>Top 5</t>
        </is>
      </c>
    </row>
    <row r="563">
      <c r="A563" s="6" t="inlineStr">
        <is>
          <t>1er lugar</t>
        </is>
      </c>
    </row>
    <row r="564">
      <c r="A564" s="6" t="inlineStr">
        <is>
          <t>2o lugar</t>
        </is>
      </c>
    </row>
    <row r="565">
      <c r="A565" s="6" t="inlineStr">
        <is>
          <t>3er lugar</t>
        </is>
      </c>
    </row>
    <row r="566">
      <c r="A566" s="6" t="inlineStr">
        <is>
          <t>4o lugar</t>
        </is>
      </c>
    </row>
    <row r="567">
      <c r="A567" s="6" t="inlineStr">
        <is>
          <t>5o lugar</t>
        </is>
      </c>
    </row>
    <row r="568">
      <c r="A568" s="3" t="inlineStr">
        <is>
          <t>TOTAL GRAL</t>
        </is>
      </c>
      <c r="B568" s="4" t="n">
        <v>0</v>
      </c>
    </row>
    <row r="569">
      <c r="A569" s="5" t="inlineStr">
        <is>
          <t>Top 5</t>
        </is>
      </c>
    </row>
    <row r="570">
      <c r="A570" s="6" t="inlineStr">
        <is>
          <t>1er lugar</t>
        </is>
      </c>
    </row>
    <row r="571">
      <c r="A571" s="6" t="inlineStr">
        <is>
          <t>2o lugar</t>
        </is>
      </c>
    </row>
    <row r="572">
      <c r="A572" s="6" t="inlineStr">
        <is>
          <t>3er lugar</t>
        </is>
      </c>
    </row>
    <row r="573">
      <c r="A573" s="6" t="inlineStr">
        <is>
          <t>4o lugar</t>
        </is>
      </c>
    </row>
    <row r="574">
      <c r="A574" s="6" t="inlineStr">
        <is>
          <t>5o lugar</t>
        </is>
      </c>
    </row>
    <row r="575">
      <c r="A575" s="3" t="inlineStr">
        <is>
          <t>ADELANTADA</t>
        </is>
      </c>
      <c r="B575" s="4" t="n">
        <v>0</v>
      </c>
    </row>
    <row r="576">
      <c r="A576" s="5" t="inlineStr">
        <is>
          <t>Top 5</t>
        </is>
      </c>
    </row>
    <row r="577">
      <c r="A577" s="6" t="inlineStr">
        <is>
          <t>1er lugar</t>
        </is>
      </c>
    </row>
    <row r="578">
      <c r="A578" s="6" t="inlineStr">
        <is>
          <t>2o lugar</t>
        </is>
      </c>
    </row>
    <row r="579">
      <c r="A579" s="6" t="inlineStr">
        <is>
          <t>3er lugar</t>
        </is>
      </c>
    </row>
    <row r="580">
      <c r="A580" s="6" t="inlineStr">
        <is>
          <t>4o lugar</t>
        </is>
      </c>
    </row>
    <row r="581">
      <c r="A581" s="6" t="inlineStr">
        <is>
          <t>5o lugar</t>
        </is>
      </c>
    </row>
    <row r="584">
      <c r="A584" s="1" t="inlineStr">
        <is>
          <t>DICIEMBRE 2026</t>
        </is>
      </c>
    </row>
    <row r="585">
      <c r="A585" s="2" t="inlineStr">
        <is>
          <t>CONCEPTO</t>
        </is>
      </c>
      <c r="B585" s="2" t="inlineStr">
        <is>
          <t>TOTAL ($)</t>
        </is>
      </c>
      <c r="C585" s="2" t="inlineStr">
        <is>
          <t>1er lugar</t>
        </is>
      </c>
      <c r="D585" s="2" t="inlineStr">
        <is>
          <t>Monto</t>
        </is>
      </c>
      <c r="E585" s="2" t="inlineStr">
        <is>
          <t>2o lugar</t>
        </is>
      </c>
      <c r="F585" s="2" t="inlineStr">
        <is>
          <t>Monto</t>
        </is>
      </c>
      <c r="G585" s="2" t="inlineStr">
        <is>
          <t>3er lugar</t>
        </is>
      </c>
      <c r="H585" s="2" t="inlineStr">
        <is>
          <t>Monto</t>
        </is>
      </c>
      <c r="I585" s="2" t="inlineStr">
        <is>
          <t>4o lugar</t>
        </is>
      </c>
      <c r="J585" s="2" t="inlineStr">
        <is>
          <t>Monto</t>
        </is>
      </c>
      <c r="K585" s="2" t="inlineStr">
        <is>
          <t>5o lugar</t>
        </is>
      </c>
      <c r="L585" s="2" t="inlineStr">
        <is>
          <t>Monto</t>
        </is>
      </c>
    </row>
    <row r="586">
      <c r="A586" s="3" t="inlineStr">
        <is>
          <t>CORRIENTE</t>
        </is>
      </c>
      <c r="B586" s="4" t="n">
        <v>0</v>
      </c>
    </row>
    <row r="587">
      <c r="A587" s="5" t="inlineStr">
        <is>
          <t>Top 5</t>
        </is>
      </c>
    </row>
    <row r="588">
      <c r="A588" s="6" t="inlineStr">
        <is>
          <t>1er lugar</t>
        </is>
      </c>
    </row>
    <row r="589">
      <c r="A589" s="6" t="inlineStr">
        <is>
          <t>2o lugar</t>
        </is>
      </c>
    </row>
    <row r="590">
      <c r="A590" s="6" t="inlineStr">
        <is>
          <t>3er lugar</t>
        </is>
      </c>
    </row>
    <row r="591">
      <c r="A591" s="6" t="inlineStr">
        <is>
          <t>4o lugar</t>
        </is>
      </c>
    </row>
    <row r="592">
      <c r="A592" s="6" t="inlineStr">
        <is>
          <t>5o lugar</t>
        </is>
      </c>
    </row>
    <row r="593">
      <c r="A593" s="3" t="inlineStr">
        <is>
          <t>CANCEL</t>
        </is>
      </c>
      <c r="B593" s="4" t="n">
        <v>0</v>
      </c>
    </row>
    <row r="594">
      <c r="A594" s="5" t="inlineStr">
        <is>
          <t>Top 5</t>
        </is>
      </c>
    </row>
    <row r="595">
      <c r="A595" s="6" t="inlineStr">
        <is>
          <t>1er lugar</t>
        </is>
      </c>
    </row>
    <row r="596">
      <c r="A596" s="6" t="inlineStr">
        <is>
          <t>2o lugar</t>
        </is>
      </c>
    </row>
    <row r="597">
      <c r="A597" s="6" t="inlineStr">
        <is>
          <t>3er lugar</t>
        </is>
      </c>
    </row>
    <row r="598">
      <c r="A598" s="6" t="inlineStr">
        <is>
          <t>4o lugar</t>
        </is>
      </c>
    </row>
    <row r="599">
      <c r="A599" s="6" t="inlineStr">
        <is>
          <t>5o lugar</t>
        </is>
      </c>
    </row>
    <row r="600">
      <c r="A600" s="3" t="inlineStr">
        <is>
          <t>VENCIDA</t>
        </is>
      </c>
      <c r="B600" s="4" t="n">
        <v>0</v>
      </c>
    </row>
    <row r="601">
      <c r="A601" s="5" t="inlineStr">
        <is>
          <t>Top 5</t>
        </is>
      </c>
    </row>
    <row r="602">
      <c r="A602" s="6" t="inlineStr">
        <is>
          <t>1er lugar</t>
        </is>
      </c>
    </row>
    <row r="603">
      <c r="A603" s="6" t="inlineStr">
        <is>
          <t>2o lugar</t>
        </is>
      </c>
    </row>
    <row r="604">
      <c r="A604" s="6" t="inlineStr">
        <is>
          <t>3er lugar</t>
        </is>
      </c>
    </row>
    <row r="605">
      <c r="A605" s="6" t="inlineStr">
        <is>
          <t>4o lugar</t>
        </is>
      </c>
    </row>
    <row r="606">
      <c r="A606" s="6" t="inlineStr">
        <is>
          <t>5o lugar</t>
        </is>
      </c>
    </row>
    <row r="607">
      <c r="A607" s="3" t="inlineStr">
        <is>
          <t>EFECTIVA</t>
        </is>
      </c>
      <c r="B607" s="4" t="n">
        <v>0</v>
      </c>
    </row>
    <row r="608">
      <c r="A608" s="5" t="inlineStr">
        <is>
          <t>Top 5</t>
        </is>
      </c>
    </row>
    <row r="609">
      <c r="A609" s="6" t="inlineStr">
        <is>
          <t>1er lugar</t>
        </is>
      </c>
    </row>
    <row r="610">
      <c r="A610" s="6" t="inlineStr">
        <is>
          <t>2o lugar</t>
        </is>
      </c>
    </row>
    <row r="611">
      <c r="A611" s="6" t="inlineStr">
        <is>
          <t>3er lugar</t>
        </is>
      </c>
    </row>
    <row r="612">
      <c r="A612" s="6" t="inlineStr">
        <is>
          <t>4o lugar</t>
        </is>
      </c>
    </row>
    <row r="613">
      <c r="A613" s="6" t="inlineStr">
        <is>
          <t>5o lugar</t>
        </is>
      </c>
    </row>
    <row r="614">
      <c r="A614" s="3" t="inlineStr">
        <is>
          <t>RECUPERADA</t>
        </is>
      </c>
      <c r="B614" s="4" t="n">
        <v>0</v>
      </c>
    </row>
    <row r="615">
      <c r="A615" s="5" t="inlineStr">
        <is>
          <t>Top 5</t>
        </is>
      </c>
    </row>
    <row r="616">
      <c r="A616" s="6" t="inlineStr">
        <is>
          <t>1er lugar</t>
        </is>
      </c>
    </row>
    <row r="617">
      <c r="A617" s="6" t="inlineStr">
        <is>
          <t>2o lugar</t>
        </is>
      </c>
    </row>
    <row r="618">
      <c r="A618" s="6" t="inlineStr">
        <is>
          <t>3er lugar</t>
        </is>
      </c>
    </row>
    <row r="619">
      <c r="A619" s="6" t="inlineStr">
        <is>
          <t>4o lugar</t>
        </is>
      </c>
    </row>
    <row r="620">
      <c r="A620" s="6" t="inlineStr">
        <is>
          <t>5o lugar</t>
        </is>
      </c>
    </row>
    <row r="621">
      <c r="A621" s="3" t="inlineStr">
        <is>
          <t>TOTAL GRAL</t>
        </is>
      </c>
      <c r="B621" s="4" t="n">
        <v>0</v>
      </c>
    </row>
    <row r="622">
      <c r="A622" s="5" t="inlineStr">
        <is>
          <t>Top 5</t>
        </is>
      </c>
    </row>
    <row r="623">
      <c r="A623" s="6" t="inlineStr">
        <is>
          <t>1er lugar</t>
        </is>
      </c>
    </row>
    <row r="624">
      <c r="A624" s="6" t="inlineStr">
        <is>
          <t>2o lugar</t>
        </is>
      </c>
    </row>
    <row r="625">
      <c r="A625" s="6" t="inlineStr">
        <is>
          <t>3er lugar</t>
        </is>
      </c>
    </row>
    <row r="626">
      <c r="A626" s="6" t="inlineStr">
        <is>
          <t>4o lugar</t>
        </is>
      </c>
    </row>
    <row r="627">
      <c r="A627" s="6" t="inlineStr">
        <is>
          <t>5o lugar</t>
        </is>
      </c>
    </row>
    <row r="628">
      <c r="A628" s="3" t="inlineStr">
        <is>
          <t>ADELANTADA</t>
        </is>
      </c>
      <c r="B628" s="4" t="n">
        <v>0</v>
      </c>
    </row>
    <row r="629">
      <c r="A629" s="5" t="inlineStr">
        <is>
          <t>Top 5</t>
        </is>
      </c>
    </row>
    <row r="630">
      <c r="A630" s="6" t="inlineStr">
        <is>
          <t>1er lugar</t>
        </is>
      </c>
    </row>
    <row r="631">
      <c r="A631" s="6" t="inlineStr">
        <is>
          <t>2o lugar</t>
        </is>
      </c>
    </row>
    <row r="632">
      <c r="A632" s="6" t="inlineStr">
        <is>
          <t>3er lugar</t>
        </is>
      </c>
    </row>
    <row r="633">
      <c r="A633" s="6" t="inlineStr">
        <is>
          <t>4o lugar</t>
        </is>
      </c>
    </row>
    <row r="634">
      <c r="A634" s="6" t="inlineStr">
        <is>
          <t>5o lugar</t>
        </is>
      </c>
    </row>
  </sheetData>
  <mergeCells count="12">
    <mergeCell ref="A425:H425"/>
    <mergeCell ref="A319:H319"/>
    <mergeCell ref="A54:H54"/>
    <mergeCell ref="A266:H266"/>
    <mergeCell ref="A107:H107"/>
    <mergeCell ref="A160:H160"/>
    <mergeCell ref="A213:H213"/>
    <mergeCell ref="A478:H478"/>
    <mergeCell ref="A372:H372"/>
    <mergeCell ref="A1:H1"/>
    <mergeCell ref="A531:H531"/>
    <mergeCell ref="A584:H5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5" customWidth="1" min="3" max="3"/>
  </cols>
  <sheetData>
    <row r="1">
      <c r="A1" s="1" t="inlineStr">
        <is>
          <t>GUÍA DE KPIs — REPORTE DE COBRANZA JUNTA MENSUAL</t>
        </is>
      </c>
      <c r="B1" s="1" t="inlineStr"/>
    </row>
    <row r="2">
      <c r="A2" t="inlineStr"/>
      <c r="B2" t="inlineStr"/>
    </row>
    <row r="3">
      <c r="A3" s="8" t="inlineStr">
        <is>
          <t>CONCEPTO</t>
        </is>
      </c>
      <c r="B3" s="8" t="inlineStr">
        <is>
          <t>DEFINICIÓN</t>
        </is>
      </c>
      <c r="C3" s="8" t="inlineStr">
        <is>
          <t>FÓRMULA</t>
        </is>
      </c>
    </row>
    <row r="4">
      <c r="A4" t="inlineStr">
        <is>
          <t>COBRANZA CORRIENTE</t>
        </is>
      </c>
      <c r="B4" t="inlineStr">
        <is>
          <t>Monto total de cartera activa en el mes.</t>
        </is>
      </c>
      <c r="C4" t="inlineStr">
        <is>
          <t>Sumatoria columna AK</t>
        </is>
      </c>
    </row>
    <row r="5">
      <c r="A5" t="inlineStr">
        <is>
          <t>CANCELACIONES</t>
        </is>
      </c>
      <c r="B5" t="inlineStr">
        <is>
          <t>Pólizas canceladas. Sin comisión al cobrador.</t>
        </is>
      </c>
      <c r="C5" t="inlineStr">
        <is>
          <t>Estatus CANCEL en columna AL</t>
        </is>
      </c>
    </row>
    <row r="6">
      <c r="A6" t="inlineStr">
        <is>
          <t>COBRANZA VENCIDA</t>
        </is>
      </c>
      <c r="B6" t="inlineStr">
        <is>
          <t>Suma de pagos atrasados. Principal indicador.</t>
        </is>
      </c>
      <c r="C6" t="inlineStr">
        <is>
          <t>Columna AK status VENCIDA</t>
        </is>
      </c>
    </row>
    <row r="7">
      <c r="A7" t="inlineStr">
        <is>
          <t>COBRANZA EFECTIVA</t>
        </is>
      </c>
      <c r="B7" t="inlineStr">
        <is>
          <t>Lo cobrado真正的. Métrica principal de desempeño.</t>
        </is>
      </c>
      <c r="C7" t="inlineStr">
        <is>
          <t>Columna AK status COBRADO</t>
        </is>
      </c>
    </row>
    <row r="8">
      <c r="A8" t="inlineStr">
        <is>
          <t>COBRANZA RECUPERADA</t>
        </is>
      </c>
      <c r="B8" t="inlineStr">
        <is>
          <t>Pagos vencidos recuperados.</t>
        </is>
      </c>
      <c r="C8" t="inlineStr">
        <is>
          <t>Columna AV</t>
        </is>
      </c>
    </row>
    <row r="9">
      <c r="A9" t="inlineStr">
        <is>
          <t>COBRANZA TOTAL GENERAL</t>
        </is>
      </c>
      <c r="B9" t="inlineStr">
        <is>
          <t>Efectiva + Recuperada. Total cobrado en el mes.</t>
        </is>
      </c>
      <c r="C9" t="inlineStr">
        <is>
          <t>EFECTIVA + RECUPERADA</t>
        </is>
      </c>
    </row>
    <row r="10">
      <c r="A10" t="inlineStr">
        <is>
          <t>COBRANZA ADELANTADA F.</t>
        </is>
      </c>
      <c r="B10" t="inlineStr">
        <is>
          <t>Pagos anticipados para siguiente mes.</t>
        </is>
      </c>
      <c r="C10" t="inlineStr">
        <is>
          <t>Columna BG</t>
        </is>
      </c>
    </row>
    <row r="11">
      <c r="A11" t="inlineStr">
        <is>
          <t>PROYECCIÓN</t>
        </is>
      </c>
      <c r="B11" t="inlineStr">
        <is>
          <t>Estimación de cobranza para mes siguiente.</t>
        </is>
      </c>
      <c r="C11" t="inlineStr">
        <is>
          <t>Basada en tendencia</t>
        </is>
      </c>
    </row>
    <row r="12">
      <c r="A12" t="inlineStr"/>
      <c r="B12" t="inlineStr"/>
    </row>
    <row r="13">
      <c r="A13" t="inlineStr">
        <is>
          <t>TOP 5</t>
        </is>
      </c>
      <c r="B13" t="inlineStr">
        <is>
          <t>Se rankean por MONTO COBRADO (columna AP).</t>
        </is>
      </c>
      <c r="C13" t="inlineStr"/>
    </row>
    <row r="14">
      <c r="A14" t="inlineStr">
        <is>
          <t>NOTAS</t>
        </is>
      </c>
      <c r="B14" t="inlineStr"/>
      <c r="C14" t="inlineStr"/>
    </row>
    <row r="15">
      <c r="A15" t="inlineStr">
        <is>
          <t>• TRANSFERENCIAS/DEPÓSITOS consolidados como "TRANSFER./DEPTOS."</t>
        </is>
      </c>
      <c r="B15" t="inlineStr"/>
      <c r="C15" t="inlineStr"/>
    </row>
    <row r="16">
      <c r="A16" t="inlineStr">
        <is>
          <t>• Colores: Azul #1F3C6E | Dorado #C9A84C | Filas alternadas</t>
        </is>
      </c>
      <c r="B16" t="inlineStr"/>
      <c r="C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3" customWidth="1" min="10" max="10"/>
    <col width="13" customWidth="1" min="11" max="11"/>
    <col width="13" customWidth="1" min="12" max="12"/>
    <col width="13" customWidth="1" min="13" max="13"/>
    <col width="3" customWidth="1" min="14" max="14"/>
    <col width="13" customWidth="1" min="15" max="15"/>
  </cols>
  <sheetData>
    <row r="1">
      <c r="A1" s="1" t="inlineStr">
        <is>
          <t>PROTEG-RT MUTUALIDAD</t>
        </is>
      </c>
    </row>
    <row r="2">
      <c r="A2" s="1" t="inlineStr">
        <is>
          <t>DASHBOARD — REPORTE DE COBRANZA JUNTA MENSUAL</t>
        </is>
      </c>
    </row>
    <row r="3">
      <c r="A3" s="1" t="inlineStr">
        <is>
          <t>AÑO 2026</t>
        </is>
      </c>
    </row>
    <row r="5">
      <c r="A5" s="9" t="inlineStr">
        <is>
          <t>MES:</t>
        </is>
      </c>
      <c r="B5" s="10" t="inlineStr">
        <is>
          <t>FEBRERO</t>
        </is>
      </c>
      <c r="C5" s="11" t="inlineStr">
        <is>
          <t>← Cambia el mes aquí</t>
        </is>
      </c>
    </row>
    <row r="7">
      <c r="A7" s="12" t="inlineStr">
        <is>
          <t>COBRANZA
TOTAL GENERAL</t>
        </is>
      </c>
      <c r="D7" s="12" t="inlineStr">
        <is>
          <t>COBRANZA
RECUPERADA</t>
        </is>
      </c>
      <c r="G7" s="12" t="inlineStr">
        <is>
          <t>COBRANZA
EFECTIVA</t>
        </is>
      </c>
      <c r="J7" s="12" t="inlineStr">
        <is>
          <t>CANCELACIONES</t>
        </is>
      </c>
    </row>
    <row r="8">
      <c r="A8" s="13">
        <f>CHOOSE(MATCH($B$5,{"ENERO","FEBRERO","MARZO","ABRIL","MAYO","JUNIO","JULIO","AGOSTO","SEPTIEMBRE","OCTUBRE","NOVIEMBRE","DICIEMBRE"},0),1408644,1251614,1433162,1136869,0,0,0,0,0,0,0,0)</f>
        <v/>
      </c>
      <c r="D8" s="13">
        <f>CHOOSE(MATCH($B$5,{"ENERO","FEBRERO","MARZO","ABRIL","MAYO","JUNIO","JULIO","AGOSTO","SEPTIEMBRE","OCTUBRE","NOVIEMBRE","DICIEMBRE"},0),115277,94027,180788,73871,0,0,0,0,0,0,0,0)</f>
        <v/>
      </c>
      <c r="G8" s="13">
        <f>CHOOSE(MATCH($B$5,{"ENERO","FEBRERO","MARZO","ABRIL","MAYO","JUNIO","JULIO","AGOSTO","SEPTIEMBRE","OCTUBRE","NOVIEMBRE","DICIEMBRE"},0),1228968,1131182,1202393,1017950,0,0,0,0,0,0,0,0)</f>
        <v/>
      </c>
      <c r="J8" s="13">
        <f>CHOOSE(MATCH($B$5,{"ENERO","FEBRERO","MARZO","ABRIL","MAYO","JUNIO","JULIO","AGOSTO","SEPTIEMBRE","OCTUBRE","NOVIEMBRE","DICIEMBRE"},0),127110,127110,106825,116313,0,0,0,0,0,0,0,0)</f>
        <v/>
      </c>
    </row>
    <row r="11">
      <c r="A11" s="12" t="inlineStr">
        <is>
          <t>COBRANZA
VENCIDA</t>
        </is>
      </c>
      <c r="D11" s="12" t="inlineStr">
        <is>
          <t>COBRANZA
ANTICIPADA</t>
        </is>
      </c>
    </row>
    <row r="12">
      <c r="A12" s="14">
        <f>CHOOSE(MATCH($B$5,{"ENERO","FEBRERO","MARZO","ABRIL","MAYO","JUNIO","JULIO","AGOSTO","SEPTIEMBRE","OCTUBRE","NOVIEMBRE","DICIEMBRE"},0),166220,251487.31,145938,142779,0,0,0,0,0,0,0,0)</f>
        <v/>
      </c>
      <c r="D12" s="14">
        <f>CHOOSE(MATCH($B$5,{"ENERO","FEBRERO","MARZO","ABRIL","MAYO","JUNIO","JULIO","AGOSTO","SEPTIEMBRE","OCTUBRE","NOVIEMBRE","DICIEMBRE"},0),8618,0,0,2689,0,0,0,0,0,0,0,0)</f>
        <v/>
      </c>
    </row>
    <row r="16">
      <c r="A16" s="15" t="inlineStr">
        <is>
          <t>CONCENTRADO GENERAL — DISTRIBUCIÓN DEL MES</t>
        </is>
      </c>
    </row>
    <row r="17">
      <c r="A17" s="16" t="inlineStr">
        <is>
          <t>CONCEPTO</t>
        </is>
      </c>
      <c r="B17" s="16" t="inlineStr">
        <is>
          <t>TOTAL ($)</t>
        </is>
      </c>
      <c r="C17" s="16" t="inlineStr">
        <is>
          <t>% PARTICIP.</t>
        </is>
      </c>
      <c r="D17" s="16" t="inlineStr">
        <is>
          <t>ESTATUS</t>
        </is>
      </c>
    </row>
    <row r="18">
      <c r="A18" s="17" t="inlineStr">
        <is>
          <t>COBRANZA TOTAL GENERAL</t>
        </is>
      </c>
      <c r="B18" s="18">
        <f>CHOOSE(MATCH($B$5,{"ENERO","FEBRERO","MARZO","ABRIL","MAYO","JUNIO","JULIO","AGOSTO","SEPTIEMBRE","OCTUBRE","NOVIEMBRE","DICIEMBRE"},0),1408644,1251614,1433162,1136869,0,0,0,0,0,0,0,0)</f>
        <v/>
      </c>
      <c r="C18" s="19">
        <f>B18/$B$18</f>
        <v/>
      </c>
      <c r="D18" s="20" t="inlineStr">
        <is>
          <t>Base del periodo</t>
        </is>
      </c>
    </row>
    <row r="19">
      <c r="A19" s="17" t="inlineStr">
        <is>
          <t>COBRANZA RECUPERADA</t>
        </is>
      </c>
      <c r="B19" s="18">
        <f>CHOOSE(MATCH($B$5,{"ENERO","FEBRERO","MARZO","ABRIL","MAYO","JUNIO","JULIO","AGOSTO","SEPTIEMBRE","OCTUBRE","NOVIEMBRE","DICIEMBRE"},0),115277,94027,180788,73871,0,0,0,0,0,0,0,0)</f>
        <v/>
      </c>
      <c r="C19" s="19">
        <f>B19/$B$18</f>
        <v/>
      </c>
      <c r="D19" s="20" t="inlineStr">
        <is>
          <t>Acumulado del mes</t>
        </is>
      </c>
    </row>
    <row r="20">
      <c r="A20" s="17" t="inlineStr">
        <is>
          <t>COBRANZA EFECTIVA</t>
        </is>
      </c>
      <c r="B20" s="18">
        <f>CHOOSE(MATCH($B$5,{"ENERO","FEBRERO","MARZO","ABRIL","MAYO","JUNIO","JULIO","AGOSTO","SEPTIEMBRE","OCTUBRE","NOVIEMBRE","DICIEMBRE"},0),1228968,1131182,1202393,1017950,0,0,0,0,0,0,0,0)</f>
        <v/>
      </c>
      <c r="C20" s="19">
        <f>B20/$B$18</f>
        <v/>
      </c>
      <c r="D20" s="20" t="inlineStr">
        <is>
          <t>Cobrado en el mes</t>
        </is>
      </c>
    </row>
    <row r="21">
      <c r="A21" s="17" t="inlineStr">
        <is>
          <t>CANCELACIONES</t>
        </is>
      </c>
      <c r="B21" s="18">
        <f>CHOOSE(MATCH($B$5,{"ENERO","FEBRERO","MARZO","ABRIL","MAYO","JUNIO","JULIO","AGOSTO","SEPTIEMBRE","OCTUBRE","NOVIEMBRE","DICIEMBRE"},0),127110,127110,106825,116313,0,0,0,0,0,0,0,0)</f>
        <v/>
      </c>
      <c r="C21" s="19">
        <f>B21/$B$18</f>
        <v/>
      </c>
      <c r="D21" s="20" t="inlineStr">
        <is>
          <t>Pendiente</t>
        </is>
      </c>
    </row>
    <row r="22">
      <c r="A22" s="17" t="inlineStr">
        <is>
          <t>COBRANZA VENCIDA</t>
        </is>
      </c>
      <c r="B22" s="18">
        <f>CHOOSE(MATCH($B$5,{"ENERO","FEBRERO","MARZO","ABRIL","MAYO","JUNIO","JULIO","AGOSTO","SEPTIEMBRE","OCTUBRE","NOVIEMBRE","DICIEMBRE"},0),166220,251487.31,145938,142779,0,0,0,0,0,0,0,0)</f>
        <v/>
      </c>
      <c r="C22" s="19">
        <f>B22/$B$18</f>
        <v/>
      </c>
      <c r="D22" s="20" t="inlineStr">
        <is>
          <t>En riesgo</t>
        </is>
      </c>
    </row>
    <row r="23">
      <c r="A23" s="21" t="inlineStr">
        <is>
          <t>TOTAL ACUMULADO</t>
        </is>
      </c>
      <c r="B23" s="22">
        <f>B18</f>
        <v/>
      </c>
      <c r="C23" s="23">
        <f>B23/B18</f>
        <v/>
      </c>
      <c r="D23" s="24" t="inlineStr">
        <is>
          <t>Suma de todos los conceptos</t>
        </is>
      </c>
    </row>
    <row r="25">
      <c r="A25" s="25" t="inlineStr">
        <is>
          <t>COBRANZA CORRIENTE</t>
        </is>
      </c>
      <c r="E25" s="25" t="inlineStr">
        <is>
          <t>CANCELACIONES</t>
        </is>
      </c>
      <c r="I25" s="25" t="inlineStr">
        <is>
          <t>COBRANZA VENCIDA</t>
        </is>
      </c>
      <c r="M25" s="25" t="inlineStr">
        <is>
          <t>COBRANZA EFECTIVA</t>
        </is>
      </c>
    </row>
    <row r="26">
      <c r="A26" s="26" t="inlineStr">
        <is>
          <t>LUGAR</t>
        </is>
      </c>
      <c r="B26" s="26" t="inlineStr">
        <is>
          <t>VENDEDOR</t>
        </is>
      </c>
      <c r="C26" s="26" t="inlineStr">
        <is>
          <t>MONTO</t>
        </is>
      </c>
      <c r="E26" s="26" t="inlineStr">
        <is>
          <t>LUGAR</t>
        </is>
      </c>
      <c r="F26" s="26" t="inlineStr">
        <is>
          <t>VENDEDOR</t>
        </is>
      </c>
      <c r="G26" s="26" t="inlineStr">
        <is>
          <t>MONTO</t>
        </is>
      </c>
      <c r="I26" s="26" t="inlineStr">
        <is>
          <t>LUGAR</t>
        </is>
      </c>
      <c r="J26" s="26" t="inlineStr">
        <is>
          <t>VENDEDOR</t>
        </is>
      </c>
      <c r="K26" s="26" t="inlineStr">
        <is>
          <t>MONTO</t>
        </is>
      </c>
      <c r="M26" s="26" t="inlineStr">
        <is>
          <t>LUGAR</t>
        </is>
      </c>
      <c r="N26" s="26" t="inlineStr">
        <is>
          <t>VENDEDOR</t>
        </is>
      </c>
      <c r="O26" s="26" t="inlineStr">
        <is>
          <t>MONTO</t>
        </is>
      </c>
    </row>
    <row r="27">
      <c r="A27" s="27" t="inlineStr">
        <is>
          <t>1er</t>
        </is>
      </c>
      <c r="B27" s="28">
        <f>CHOOSE(MATCH($B$5,{"ENERO","FEBRERO","MARZO","ABRIL","MAYO","JUNIO","JULIO","AGOSTO","SEPTIEMBRE","OCTUBRE","NOVIEMBRE","DICIEMBRE"},0),"-","V1","V1","V1","-","-","-","-","-","-","-","-")</f>
        <v/>
      </c>
      <c r="C27" s="29">
        <f>CHOOSE(MATCH($B$5,{"ENERO","FEBRERO","MARZO","ABRIL","MAYO","JUNIO","JULIO","AGOSTO","SEPTIEMBRE","OCTUBRE","NOVIEMBRE","DICIEMBRE"},0),0,207793,324822,252756,0,0,0,0,0,0,0,0)</f>
        <v/>
      </c>
      <c r="E27" s="27" t="inlineStr">
        <is>
          <t>1er</t>
        </is>
      </c>
      <c r="F27" s="28">
        <f>CHOOSE(MATCH($B$5,{"ENERO","FEBRERO","MARZO","ABRIL","MAYO","JUNIO","JULIO","AGOSTO","SEPTIEMBRE","OCTUBRE","NOVIEMBRE","DICIEMBRE"},0),"-","V38","V1","V39","-","-","-","-","-","-","-","-")</f>
        <v/>
      </c>
      <c r="G27" s="29">
        <f>CHOOSE(MATCH($B$5,{"ENERO","FEBRERO","MARZO","ABRIL","MAYO","JUNIO","JULIO","AGOSTO","SEPTIEMBRE","OCTUBRE","NOVIEMBRE","DICIEMBRE"},0),0,21035,19788,16519,0,0,0,0,0,0,0,0)</f>
        <v/>
      </c>
      <c r="I27" s="27" t="inlineStr">
        <is>
          <t>1er</t>
        </is>
      </c>
      <c r="J27" s="28">
        <f>CHOOSE(MATCH($B$5,{"ENERO","FEBRERO","MARZO","ABRIL","MAYO","JUNIO","JULIO","AGOSTO","SEPTIEMBRE","OCTUBRE","NOVIEMBRE","DICIEMBRE"},0),"-","V39 JOSE","V39","EDGAR","-","-","-","-","-","-","-","-")</f>
        <v/>
      </c>
      <c r="K27" s="29">
        <f>CHOOSE(MATCH($B$5,{"ENERO","FEBRERO","MARZO","ABRIL","MAYO","JUNIO","JULIO","AGOSTO","SEPTIEMBRE","OCTUBRE","NOVIEMBRE","DICIEMBRE"},0),0,70796.5,30632,22753,0,0,0,0,0,0,0,0)</f>
        <v/>
      </c>
      <c r="M27" s="27" t="inlineStr">
        <is>
          <t>1er</t>
        </is>
      </c>
      <c r="N27" s="28">
        <f>CHOOSE(MATCH($B$5,{"ENERO","FEBRERO","MARZO","ABRIL","MAYO","JUNIO","JULIO","AGOSTO","SEPTIEMBRE","OCTUBRE","NOVIEMBRE","DICIEMBRE"},0),"-","EDGAR","EDGAR","DEPOSITO","-","-","-","-","-","-","-","-")</f>
        <v/>
      </c>
      <c r="O27" s="29">
        <f>CHOOSE(MATCH($B$5,{"ENERO","FEBRERO","MARZO","ABRIL","MAYO","JUNIO","JULIO","AGOSTO","SEPTIEMBRE","OCTUBRE","NOVIEMBRE","DICIEMBRE"},0),0,150839,199444,226674,0,0,0,0,0,0,0,0)</f>
        <v/>
      </c>
    </row>
    <row r="28">
      <c r="A28" s="27" t="inlineStr">
        <is>
          <t>2o</t>
        </is>
      </c>
      <c r="B28" s="28">
        <f>CHOOSE(MATCH($B$5,{"ENERO","FEBRERO","MARZO","ABRIL","MAYO","JUNIO","JULIO","AGOSTO","SEPTIEMBRE","OCTUBRE","NOVIEMBRE","DICIEMBRE"},0),"-","V6","V6","V6","-","-","-","-","-","-","-","-")</f>
        <v/>
      </c>
      <c r="C28" s="29">
        <f>CHOOSE(MATCH($B$5,{"ENERO","FEBRERO","MARZO","ABRIL","MAYO","JUNIO","JULIO","AGOSTO","SEPTIEMBRE","OCTUBRE","NOVIEMBRE","DICIEMBRE"},0),0,198234,293341,232738,0,0,0,0,0,0,0,0)</f>
        <v/>
      </c>
      <c r="E28" s="27" t="inlineStr">
        <is>
          <t>2o</t>
        </is>
      </c>
      <c r="F28" s="28">
        <f>CHOOSE(MATCH($B$5,{"ENERO","FEBRERO","MARZO","ABRIL","MAYO","JUNIO","JULIO","AGOSTO","SEPTIEMBRE","OCTUBRE","NOVIEMBRE","DICIEMBRE"},0),"-","V56","V38","V38","-","-","-","-","-","-","-","-")</f>
        <v/>
      </c>
      <c r="G28" s="29">
        <f>CHOOSE(MATCH($B$5,{"ENERO","FEBRERO","MARZO","ABRIL","MAYO","JUNIO","JULIO","AGOSTO","SEPTIEMBRE","OCTUBRE","NOVIEMBRE","DICIEMBRE"},0),0,17664,16551,16242,0,0,0,0,0,0,0,0)</f>
        <v/>
      </c>
      <c r="I28" s="27" t="inlineStr">
        <is>
          <t>2o</t>
        </is>
      </c>
      <c r="J28" s="28">
        <f>CHOOSE(MATCH($B$5,{"ENERO","FEBRERO","MARZO","ABRIL","MAYO","JUNIO","JULIO","AGOSTO","SEPTIEMBRE","OCTUBRE","NOVIEMBRE","DICIEMBRE"},0),"-","JORGE","EDGAR","V39","-","-","-","-","-","-","-","-")</f>
        <v/>
      </c>
      <c r="K28" s="29">
        <f>CHOOSE(MATCH($B$5,{"ENERO","FEBRERO","MARZO","ABRIL","MAYO","JUNIO","JULIO","AGOSTO","SEPTIEMBRE","OCTUBRE","NOVIEMBRE","DICIEMBRE"},0),0,40169,23081,22418,0,0,0,0,0,0,0,0)</f>
        <v/>
      </c>
      <c r="M28" s="27" t="inlineStr">
        <is>
          <t>2o</t>
        </is>
      </c>
      <c r="N28" s="28">
        <f>CHOOSE(MATCH($B$5,{"ENERO","FEBRERO","MARZO","ABRIL","MAYO","JUNIO","JULIO","AGOSTO","SEPTIEMBRE","OCTUBRE","NOVIEMBRE","DICIEMBRE"},0),"-","FRANCISCO","DEPOSITO","EDGAR","-","-","-","-","-","-","-","-")</f>
        <v/>
      </c>
      <c r="O28" s="29">
        <f>CHOOSE(MATCH($B$5,{"ENERO","FEBRERO","MARZO","ABRIL","MAYO","JUNIO","JULIO","AGOSTO","SEPTIEMBRE","OCTUBRE","NOVIEMBRE","DICIEMBRE"},0),0,140739,168196,174488,0,0,0,0,0,0,0,0)</f>
        <v/>
      </c>
    </row>
    <row r="29">
      <c r="A29" s="27" t="inlineStr">
        <is>
          <t>3er</t>
        </is>
      </c>
      <c r="B29" s="28">
        <f>CHOOSE(MATCH($B$5,{"ENERO","FEBRERO","MARZO","ABRIL","MAYO","JUNIO","JULIO","AGOSTO","SEPTIEMBRE","OCTUBRE","NOVIEMBRE","DICIEMBRE"},0),"-","V39","V38","V39","-","-","-","-","-","-","-","-")</f>
        <v/>
      </c>
      <c r="C29" s="29">
        <f>CHOOSE(MATCH($B$5,{"ENERO","FEBRERO","MARZO","ABRIL","MAYO","JUNIO","JULIO","AGOSTO","SEPTIEMBRE","OCTUBRE","NOVIEMBRE","DICIEMBRE"},0),0,156891,193535,189665,0,0,0,0,0,0,0,0)</f>
        <v/>
      </c>
      <c r="E29" s="27" t="inlineStr">
        <is>
          <t>3er</t>
        </is>
      </c>
      <c r="F29" s="28">
        <f>CHOOSE(MATCH($B$5,{"ENERO","FEBRERO","MARZO","ABRIL","MAYO","JUNIO","JULIO","AGOSTO","SEPTIEMBRE","OCTUBRE","NOVIEMBRE","DICIEMBRE"},0),"-","V6","V6","V1","-","-","-","-","-","-","-","-")</f>
        <v/>
      </c>
      <c r="G29" s="29">
        <f>CHOOSE(MATCH($B$5,{"ENERO","FEBRERO","MARZO","ABRIL","MAYO","JUNIO","JULIO","AGOSTO","SEPTIEMBRE","OCTUBRE","NOVIEMBRE","DICIEMBRE"},0),0,15924,15166,15691,0,0,0,0,0,0,0,0)</f>
        <v/>
      </c>
      <c r="I29" s="27" t="inlineStr">
        <is>
          <t>3er</t>
        </is>
      </c>
      <c r="J29" s="28">
        <f>CHOOSE(MATCH($B$5,{"ENERO","FEBRERO","MARZO","ABRIL","MAYO","JUNIO","JULIO","AGOSTO","SEPTIEMBRE","OCTUBRE","NOVIEMBRE","DICIEMBRE"},0),"-","EDGAR","DEPOSITO","EDUARDO","-","-","-","-","-","-","-","-")</f>
        <v/>
      </c>
      <c r="K29" s="29">
        <f>CHOOSE(MATCH($B$5,{"ENERO","FEBRERO","MARZO","ABRIL","MAYO","JUNIO","JULIO","AGOSTO","SEPTIEMBRE","OCTUBRE","NOVIEMBRE","DICIEMBRE"},0),0,35046,22118,22157,0,0,0,0,0,0,0,0)</f>
        <v/>
      </c>
      <c r="M29" s="27" t="inlineStr">
        <is>
          <t>3er</t>
        </is>
      </c>
      <c r="N29" s="28">
        <f>CHOOSE(MATCH($B$5,{"ENERO","FEBRERO","MARZO","ABRIL","MAYO","JUNIO","JULIO","AGOSTO","SEPTIEMBRE","OCTUBRE","NOVIEMBRE","DICIEMBRE"},0),"-","EDUARDO","V1","JORGE","-","-","-","-","-","-","-","-")</f>
        <v/>
      </c>
      <c r="O29" s="29">
        <f>CHOOSE(MATCH($B$5,{"ENERO","FEBRERO","MARZO","ABRIL","MAYO","JUNIO","JULIO","AGOSTO","SEPTIEMBRE","OCTUBRE","NOVIEMBRE","DICIEMBRE"},0),0,91742,118908,117049,0,0,0,0,0,0,0,0)</f>
        <v/>
      </c>
    </row>
    <row r="30">
      <c r="A30" s="27" t="inlineStr">
        <is>
          <t>4o</t>
        </is>
      </c>
      <c r="B30" s="28">
        <f>CHOOSE(MATCH($B$5,{"ENERO","FEBRERO","MARZO","ABRIL","MAYO","JUNIO","JULIO","AGOSTO","SEPTIEMBRE","OCTUBRE","NOVIEMBRE","DICIEMBRE"},0),"-","V38","V39","V38","-","-","-","-","-","-","-","-")</f>
        <v/>
      </c>
      <c r="C30" s="29">
        <f>CHOOSE(MATCH($B$5,{"ENERO","FEBRERO","MARZO","ABRIL","MAYO","JUNIO","JULIO","AGOSTO","SEPTIEMBRE","OCTUBRE","NOVIEMBRE","DICIEMBRE"},0),0,142567,175043,176792,0,0,0,0,0,0,0,0)</f>
        <v/>
      </c>
      <c r="E30" s="27" t="inlineStr">
        <is>
          <t>4o</t>
        </is>
      </c>
      <c r="F30" s="28">
        <f>CHOOSE(MATCH($B$5,{"ENERO","FEBRERO","MARZO","ABRIL","MAYO","JUNIO","JULIO","AGOSTO","SEPTIEMBRE","OCTUBRE","NOVIEMBRE","DICIEMBRE"},0),"-","V84","V56","V6","-","-","-","-","-","-","-","-")</f>
        <v/>
      </c>
      <c r="G30" s="29">
        <f>CHOOSE(MATCH($B$5,{"ENERO","FEBRERO","MARZO","ABRIL","MAYO","JUNIO","JULIO","AGOSTO","SEPTIEMBRE","OCTUBRE","NOVIEMBRE","DICIEMBRE"},0),0,14374,13415,13754,0,0,0,0,0,0,0,0)</f>
        <v/>
      </c>
      <c r="I30" s="27" t="inlineStr">
        <is>
          <t>4o</t>
        </is>
      </c>
      <c r="J30" s="28">
        <f>CHOOSE(MATCH($B$5,{"ENERO","FEBRERO","MARZO","ABRIL","MAYO","JUNIO","JULIO","AGOSTO","SEPTIEMBRE","OCTUBRE","NOVIEMBRE","DICIEMBRE"},0),"-","FRANCISCO","JORGE","DEPOSITO","-","-","-","-","-","-","-","-")</f>
        <v/>
      </c>
      <c r="K30" s="29">
        <f>CHOOSE(MATCH($B$5,{"ENERO","FEBRERO","MARZO","ABRIL","MAYO","JUNIO","JULIO","AGOSTO","SEPTIEMBRE","OCTUBRE","NOVIEMBRE","DICIEMBRE"},0),0,34647,21557,19559,0,0,0,0,0,0,0,0)</f>
        <v/>
      </c>
      <c r="M30" s="27" t="inlineStr">
        <is>
          <t>4o</t>
        </is>
      </c>
      <c r="N30" s="28">
        <f>CHOOSE(MATCH($B$5,{"ENERO","FEBRERO","MARZO","ABRIL","MAYO","JUNIO","JULIO","AGOSTO","SEPTIEMBRE","OCTUBRE","NOVIEMBRE","DICIEMBRE"},0),"-","JORGE","JORGE","FRANCISCO","-","-","-","-","-","-","-","-")</f>
        <v/>
      </c>
      <c r="O30" s="29">
        <f>CHOOSE(MATCH($B$5,{"ENERO","FEBRERO","MARZO","ABRIL","MAYO","JUNIO","JULIO","AGOSTO","SEPTIEMBRE","OCTUBRE","NOVIEMBRE","DICIEMBRE"},0),0,88710,113756,109425,0,0,0,0,0,0,0,0)</f>
        <v/>
      </c>
    </row>
    <row r="31">
      <c r="A31" s="27" t="inlineStr">
        <is>
          <t>5o</t>
        </is>
      </c>
      <c r="B31" s="28">
        <f>CHOOSE(MATCH($B$5,{"ENERO","FEBRERO","MARZO","ABRIL","MAYO","JUNIO","JULIO","AGOSTO","SEPTIEMBRE","OCTUBRE","NOVIEMBRE","DICIEMBRE"},0),"-","V27","V27","V56","-","-","-","-","-","-","-","-")</f>
        <v/>
      </c>
      <c r="C31" s="29">
        <f>CHOOSE(MATCH($B$5,{"ENERO","FEBRERO","MARZO","ABRIL","MAYO","JUNIO","JULIO","AGOSTO","SEPTIEMBRE","OCTUBRE","NOVIEMBRE","DICIEMBRE"},0),0,98765,126905,104567,0,0,0,0,0,0,0,0)</f>
        <v/>
      </c>
      <c r="E31" s="27" t="inlineStr">
        <is>
          <t>5o</t>
        </is>
      </c>
      <c r="F31" s="28">
        <f>CHOOSE(MATCH($B$5,{"ENERO","FEBRERO","MARZO","ABRIL","MAYO","JUNIO","JULIO","AGOSTO","SEPTIEMBRE","OCTUBRE","NOVIEMBRE","DICIEMBRE"},0),"-","V39","V84","V56","-","-","-","-","-","-","-","-")</f>
        <v/>
      </c>
      <c r="G31" s="29">
        <f>CHOOSE(MATCH($B$5,{"ENERO","FEBRERO","MARZO","ABRIL","MAYO","JUNIO","JULIO","AGOSTO","SEPTIEMBRE","OCTUBRE","NOVIEMBRE","DICIEMBRE"},0),0,12431,12616,13047,0,0,0,0,0,0,0,0)</f>
        <v/>
      </c>
      <c r="I31" s="27" t="inlineStr">
        <is>
          <t>5o</t>
        </is>
      </c>
      <c r="J31" s="28">
        <f>CHOOSE(MATCH($B$5,{"ENERO","FEBRERO","MARZO","ABRIL","MAYO","JUNIO","JULIO","AGOSTO","SEPTIEMBRE","OCTUBRE","NOVIEMBRE","DICIEMBRE"},0),"-","DEPOSITO","FRANCISCO","FRANCISCO","-","-","-","-","-","-","-","-")</f>
        <v/>
      </c>
      <c r="K31" s="29">
        <f>CHOOSE(MATCH($B$5,{"ENERO","FEBRERO","MARZO","ABRIL","MAYO","JUNIO","JULIO","AGOSTO","SEPTIEMBRE","OCTUBRE","NOVIEMBRE","DICIEMBRE"},0),0,24103.81,12381,18767,0,0,0,0,0,0,0,0)</f>
        <v/>
      </c>
      <c r="M31" s="27" t="inlineStr">
        <is>
          <t>5o</t>
        </is>
      </c>
      <c r="N31" s="28">
        <f>CHOOSE(MATCH($B$5,{"ENERO","FEBRERO","MARZO","ABRIL","MAYO","JUNIO","JULIO","AGOSTO","SEPTIEMBRE","OCTUBRE","NOVIEMBRE","DICIEMBRE"},0),"-","DEPOSITO","FRANCISCO","V39","-","-","-","-","-","-","-","-")</f>
        <v/>
      </c>
      <c r="O31" s="29">
        <f>CHOOSE(MATCH($B$5,{"ENERO","FEBRERO","MARZO","ABRIL","MAYO","JUNIO","JULIO","AGOSTO","SEPTIEMBRE","OCTUBRE","NOVIEMBRE","DICIEMBRE"},0),0,73492,95792,57711,0,0,0,0,0,0,0,0)</f>
        <v/>
      </c>
    </row>
    <row r="33">
      <c r="A33" s="15" t="inlineStr">
        <is>
          <t>TENDENCIA MENSUAL — EVOLUCIÓN POR MES</t>
        </is>
      </c>
    </row>
    <row r="34">
      <c r="A34" s="16" t="inlineStr">
        <is>
          <t>MES</t>
        </is>
      </c>
      <c r="B34" s="16" t="inlineStr">
        <is>
          <t>EFECTIVA ($)</t>
        </is>
      </c>
      <c r="C34" s="16" t="inlineStr">
        <is>
          <t>VENCIDA ($)</t>
        </is>
      </c>
      <c r="D34" s="16" t="inlineStr">
        <is>
          <t>RECUPERADA ($)</t>
        </is>
      </c>
      <c r="E34" s="16" t="inlineStr">
        <is>
          <t>TOTAL GRAL ($)</t>
        </is>
      </c>
    </row>
    <row r="35">
      <c r="A35" s="17" t="inlineStr">
        <is>
          <t>ENE 2026</t>
        </is>
      </c>
      <c r="B35" s="29" t="n">
        <v>1228968</v>
      </c>
      <c r="C35" s="29" t="n">
        <v>166220</v>
      </c>
      <c r="D35" s="29" t="n">
        <v>115277</v>
      </c>
      <c r="E35" s="29" t="n">
        <v>1408644</v>
      </c>
    </row>
    <row r="36">
      <c r="A36" s="17" t="inlineStr">
        <is>
          <t>FEB 2026</t>
        </is>
      </c>
      <c r="B36" s="29" t="n">
        <v>1131182</v>
      </c>
      <c r="C36" s="29" t="n">
        <v>251487.31</v>
      </c>
      <c r="D36" s="29" t="n">
        <v>94027</v>
      </c>
      <c r="E36" s="29" t="n">
        <v>1251614</v>
      </c>
    </row>
    <row r="37">
      <c r="A37" s="17" t="inlineStr">
        <is>
          <t>MAR 2026</t>
        </is>
      </c>
      <c r="B37" s="29" t="n">
        <v>1202393</v>
      </c>
      <c r="C37" s="29" t="n">
        <v>145938</v>
      </c>
      <c r="D37" s="29" t="n">
        <v>180788</v>
      </c>
      <c r="E37" s="29" t="n">
        <v>1433162</v>
      </c>
    </row>
    <row r="38">
      <c r="A38" s="17" t="inlineStr">
        <is>
          <t>ABR 2026</t>
        </is>
      </c>
      <c r="B38" s="29" t="n">
        <v>1017950</v>
      </c>
      <c r="C38" s="29" t="n">
        <v>142779</v>
      </c>
      <c r="D38" s="29" t="n">
        <v>73871</v>
      </c>
      <c r="E38" s="29" t="n">
        <v>1136869</v>
      </c>
    </row>
    <row r="39">
      <c r="A39" s="17" t="inlineStr">
        <is>
          <t>MAY 2026</t>
        </is>
      </c>
      <c r="B39" s="29" t="n">
        <v>0</v>
      </c>
      <c r="C39" s="29" t="n">
        <v>0</v>
      </c>
      <c r="D39" s="29" t="n">
        <v>0</v>
      </c>
      <c r="E39" s="29" t="n">
        <v>0</v>
      </c>
    </row>
    <row r="40">
      <c r="A40" s="17" t="inlineStr">
        <is>
          <t>JUN 2026</t>
        </is>
      </c>
      <c r="B40" s="29" t="n">
        <v>0</v>
      </c>
      <c r="C40" s="29" t="n">
        <v>0</v>
      </c>
      <c r="D40" s="29" t="n">
        <v>0</v>
      </c>
      <c r="E40" s="29" t="n">
        <v>0</v>
      </c>
    </row>
    <row r="41">
      <c r="A41" s="17" t="inlineStr">
        <is>
          <t>JUL 2026</t>
        </is>
      </c>
      <c r="B41" s="29" t="n">
        <v>0</v>
      </c>
      <c r="C41" s="29" t="n">
        <v>0</v>
      </c>
      <c r="D41" s="29" t="n">
        <v>0</v>
      </c>
      <c r="E41" s="29" t="n">
        <v>0</v>
      </c>
    </row>
    <row r="42">
      <c r="A42" s="17" t="inlineStr">
        <is>
          <t>AGO 2026</t>
        </is>
      </c>
      <c r="B42" s="29" t="n">
        <v>0</v>
      </c>
      <c r="C42" s="29" t="n">
        <v>0</v>
      </c>
      <c r="D42" s="29" t="n">
        <v>0</v>
      </c>
      <c r="E42" s="29" t="n">
        <v>0</v>
      </c>
    </row>
    <row r="43">
      <c r="A43" s="17" t="inlineStr">
        <is>
          <t>SEP 2026</t>
        </is>
      </c>
      <c r="B43" s="29" t="n">
        <v>0</v>
      </c>
      <c r="C43" s="29" t="n">
        <v>0</v>
      </c>
      <c r="D43" s="29" t="n">
        <v>0</v>
      </c>
      <c r="E43" s="29" t="n">
        <v>0</v>
      </c>
    </row>
    <row r="44">
      <c r="A44" s="17" t="inlineStr">
        <is>
          <t>OCT 2026</t>
        </is>
      </c>
      <c r="B44" s="29" t="n">
        <v>0</v>
      </c>
      <c r="C44" s="29" t="n">
        <v>0</v>
      </c>
      <c r="D44" s="29" t="n">
        <v>0</v>
      </c>
      <c r="E44" s="29" t="n">
        <v>0</v>
      </c>
    </row>
    <row r="45">
      <c r="A45" s="17" t="inlineStr">
        <is>
          <t>NOV 2026</t>
        </is>
      </c>
      <c r="B45" s="29" t="n">
        <v>0</v>
      </c>
      <c r="C45" s="29" t="n">
        <v>0</v>
      </c>
      <c r="D45" s="29" t="n">
        <v>0</v>
      </c>
      <c r="E45" s="29" t="n">
        <v>0</v>
      </c>
    </row>
    <row r="46">
      <c r="A46" s="17" t="inlineStr">
        <is>
          <t>DIC 2026</t>
        </is>
      </c>
      <c r="B46" s="29" t="n">
        <v>0</v>
      </c>
      <c r="C46" s="29" t="n">
        <v>0</v>
      </c>
      <c r="D46" s="29" t="n">
        <v>0</v>
      </c>
      <c r="E46" s="29" t="n">
        <v>0</v>
      </c>
    </row>
  </sheetData>
  <mergeCells count="5">
    <mergeCell ref="A2:O2"/>
    <mergeCell ref="A16:E16"/>
    <mergeCell ref="A33:E33"/>
    <mergeCell ref="A1:O1"/>
    <mergeCell ref="A3:O3"/>
  </mergeCells>
  <dataValidations count="1">
    <dataValidation sqref="B5" showDropDown="0" showInputMessage="0" showErrorMessage="0" allowBlank="0" type="list">
      <formula1>"ENERO,FEBRERO,MARZO,ABRIL,MAYO,JUNIO,JULIO,AGOSTO,SEPTIEMBRE,OCTUBRE,NOVIEMBRE,DICIEMBRE"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2026-05-22T19:06:08Z</dcterms:created>
  <dcterms:modified xmlns:dcterms="http://purl.org/dc/terms/" xmlns:xsi="http://www.w3.org/2001/XMLSchema-instance" xsi:type="dcterms:W3CDTF">2026-05-22T19:06:08Z</dcterms:modified>
</cp:coreProperties>
</file>