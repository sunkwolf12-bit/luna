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847" firstSheet="0" activeTab="0" autoFilterDateGrouping="1"/>
  </bookViews>
  <sheets>
    <sheet xmlns:r="http://schemas.openxmlformats.org/officeDocument/2006/relationships" name="DATOS GRAL." sheetId="1" state="visible" r:id="rId1"/>
    <sheet xmlns:r="http://schemas.openxmlformats.org/officeDocument/2006/relationships" name="COBRANZA CORRIENTE" sheetId="2" state="visible" r:id="rId2"/>
    <sheet xmlns:r="http://schemas.openxmlformats.org/officeDocument/2006/relationships" name="CANCELACIONES" sheetId="3" state="visible" r:id="rId3"/>
    <sheet xmlns:r="http://schemas.openxmlformats.org/officeDocument/2006/relationships" name="COBRANZA VENCIDA" sheetId="4" state="visible" r:id="rId4"/>
    <sheet xmlns:r="http://schemas.openxmlformats.org/officeDocument/2006/relationships" name="COBRANZA EFECTIVA" sheetId="5" state="visible" r:id="rId5"/>
    <sheet xmlns:r="http://schemas.openxmlformats.org/officeDocument/2006/relationships" name="COBRANZA RECUPERADA" sheetId="6" state="visible" r:id="rId6"/>
    <sheet xmlns:r="http://schemas.openxmlformats.org/officeDocument/2006/relationships" name="COBRANZA TOTAL GRAL." sheetId="7" state="visible" r:id="rId7"/>
    <sheet xmlns:r="http://schemas.openxmlformats.org/officeDocument/2006/relationships" name="COBRANZA ADELANTADA F." sheetId="8" state="visible" r:id="rId8"/>
    <sheet xmlns:r="http://schemas.openxmlformats.org/officeDocument/2006/relationships" name="PROYECCION SIG. M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86E6A"/>
        <bgColor indexed="64"/>
      </patternFill>
    </fill>
    <fill>
      <patternFill patternType="solid">
        <fgColor rgb="FF9A669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A581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756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168">
    <xf numFmtId="0" fontId="0" fillId="0" borderId="0" pivotButton="0" quotePrefix="0" xfId="0"/>
    <xf numFmtId="0" fontId="6" fillId="0" borderId="5" pivotButton="0" quotePrefix="0" xfId="0"/>
    <xf numFmtId="0" fontId="6" fillId="0" borderId="7" pivotButton="0" quotePrefix="0" xfId="0"/>
    <xf numFmtId="9" fontId="4" fillId="0" borderId="3" pivotButton="0" quotePrefix="0" xfId="2"/>
    <xf numFmtId="0" fontId="8" fillId="0" borderId="0" pivotButton="0" quotePrefix="0" xfId="0"/>
    <xf numFmtId="0" fontId="2" fillId="7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6" fillId="4" borderId="5" pivotButton="0" quotePrefix="0" xfId="0"/>
    <xf numFmtId="0" fontId="6" fillId="3" borderId="5" pivotButton="0" quotePrefix="0" xfId="0"/>
    <xf numFmtId="0" fontId="5" fillId="2" borderId="2" pivotButton="0" quotePrefix="0" xfId="0"/>
    <xf numFmtId="0" fontId="6" fillId="3" borderId="7" pivotButton="0" quotePrefix="0" xfId="0"/>
    <xf numFmtId="0" fontId="4" fillId="0" borderId="2" applyAlignment="1" pivotButton="0" quotePrefix="0" xfId="0">
      <alignment wrapText="1"/>
    </xf>
    <xf numFmtId="9" fontId="4" fillId="0" borderId="3" applyAlignment="1" pivotButton="0" quotePrefix="0" xfId="2">
      <alignment wrapText="1"/>
    </xf>
    <xf numFmtId="0" fontId="4" fillId="0" borderId="0" applyAlignment="1" pivotButton="0" quotePrefix="0" xfId="0">
      <alignment wrapText="1"/>
    </xf>
    <xf numFmtId="9" fontId="8" fillId="0" borderId="1" pivotButton="0" quotePrefix="0" xfId="2"/>
    <xf numFmtId="0" fontId="2" fillId="19" borderId="1" applyAlignment="1" pivotButton="0" quotePrefix="0" xfId="0">
      <alignment horizontal="center"/>
    </xf>
    <xf numFmtId="9" fontId="8" fillId="0" borderId="6" pivotButton="0" quotePrefix="0" xfId="2"/>
    <xf numFmtId="9" fontId="4" fillId="0" borderId="1" applyAlignment="1" pivotButton="0" quotePrefix="0" xfId="2">
      <alignment horizontal="center"/>
    </xf>
    <xf numFmtId="9" fontId="0" fillId="0" borderId="1" pivotButton="0" quotePrefix="0" xfId="2"/>
    <xf numFmtId="9" fontId="0" fillId="0" borderId="8" pivotButton="0" quotePrefix="0" xfId="2"/>
    <xf numFmtId="0" fontId="8" fillId="0" borderId="0" applyAlignment="1" pivotButton="0" quotePrefix="0" xfId="0">
      <alignment wrapText="1"/>
    </xf>
    <xf numFmtId="0" fontId="2" fillId="21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2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7" fillId="6" borderId="13" applyAlignment="1" pivotButton="0" quotePrefix="0" xfId="0">
      <alignment horizontal="center" wrapText="1"/>
    </xf>
    <xf numFmtId="9" fontId="7" fillId="6" borderId="15" applyAlignment="1" pivotButton="0" quotePrefix="0" xfId="2">
      <alignment horizontal="center" wrapText="1"/>
    </xf>
    <xf numFmtId="0" fontId="2" fillId="6" borderId="16" applyAlignment="1" pivotButton="0" quotePrefix="0" xfId="0">
      <alignment horizontal="center"/>
    </xf>
    <xf numFmtId="9" fontId="8" fillId="0" borderId="17" pivotButton="0" quotePrefix="0" xfId="2"/>
    <xf numFmtId="0" fontId="8" fillId="0" borderId="16" pivotButton="0" quotePrefix="0" xfId="0"/>
    <xf numFmtId="0" fontId="8" fillId="0" borderId="18" pivotButton="0" quotePrefix="0" xfId="0"/>
    <xf numFmtId="9" fontId="8" fillId="0" borderId="20" pivotButton="0" quotePrefix="0" xfId="2"/>
    <xf numFmtId="9" fontId="7" fillId="6" borderId="21" applyAlignment="1" pivotButton="0" quotePrefix="0" xfId="2">
      <alignment horizontal="center" wrapText="1"/>
    </xf>
    <xf numFmtId="9" fontId="8" fillId="0" borderId="22" pivotButton="0" quotePrefix="0" xfId="2"/>
    <xf numFmtId="0" fontId="2" fillId="7" borderId="16" applyAlignment="1" pivotButton="0" quotePrefix="0" xfId="0">
      <alignment horizontal="center"/>
    </xf>
    <xf numFmtId="0" fontId="6" fillId="6" borderId="11" applyAlignment="1" pivotButton="0" quotePrefix="0" xfId="0">
      <alignment horizontal="center" wrapText="1"/>
    </xf>
    <xf numFmtId="0" fontId="6" fillId="0" borderId="23" pivotButton="0" quotePrefix="0" xfId="0"/>
    <xf numFmtId="0" fontId="6" fillId="0" borderId="10" pivotButton="0" quotePrefix="0" xfId="0"/>
    <xf numFmtId="0" fontId="7" fillId="21" borderId="27" pivotButton="0" quotePrefix="0" xfId="0"/>
    <xf numFmtId="0" fontId="7" fillId="20" borderId="16" applyAlignment="1" pivotButton="0" quotePrefix="0" xfId="0">
      <alignment horizontal="center"/>
    </xf>
    <xf numFmtId="0" fontId="7" fillId="18" borderId="27" applyAlignment="1" pivotButton="0" quotePrefix="0" xfId="0">
      <alignment horizontal="center"/>
    </xf>
    <xf numFmtId="0" fontId="7" fillId="7" borderId="16" applyAlignment="1" pivotButton="0" quotePrefix="0" xfId="0">
      <alignment horizontal="center"/>
    </xf>
    <xf numFmtId="0" fontId="2" fillId="19" borderId="16" applyAlignment="1" pivotButton="0" quotePrefix="0" xfId="0">
      <alignment horizontal="center"/>
    </xf>
    <xf numFmtId="0" fontId="2" fillId="22" borderId="27" applyAlignment="1" pivotButton="0" quotePrefix="0" xfId="0">
      <alignment horizontal="center"/>
    </xf>
    <xf numFmtId="0" fontId="7" fillId="6" borderId="30" applyAlignment="1" pivotButton="0" quotePrefix="0" xfId="0">
      <alignment horizontal="center" wrapText="1"/>
    </xf>
    <xf numFmtId="9" fontId="7" fillId="6" borderId="32" applyAlignment="1" pivotButton="0" quotePrefix="0" xfId="2">
      <alignment horizontal="center" wrapText="1"/>
    </xf>
    <xf numFmtId="0" fontId="2" fillId="7" borderId="28" applyAlignment="1" pivotButton="0" quotePrefix="0" xfId="0">
      <alignment horizontal="center"/>
    </xf>
    <xf numFmtId="0" fontId="2" fillId="10" borderId="28" applyAlignment="1" pivotButton="0" quotePrefix="0" xfId="0">
      <alignment horizontal="center"/>
    </xf>
    <xf numFmtId="0" fontId="2" fillId="20" borderId="28" applyAlignment="1" pivotButton="0" quotePrefix="0" xfId="0">
      <alignment horizontal="center"/>
    </xf>
    <xf numFmtId="9" fontId="0" fillId="0" borderId="0" pivotButton="0" quotePrefix="0" xfId="2"/>
    <xf numFmtId="9" fontId="9" fillId="6" borderId="0" pivotButton="0" quotePrefix="0" xfId="2"/>
    <xf numFmtId="9" fontId="4" fillId="0" borderId="4" pivotButton="0" quotePrefix="0" xfId="2"/>
    <xf numFmtId="0" fontId="2" fillId="23" borderId="0" applyAlignment="1" pivotButton="0" quotePrefix="0" xfId="0">
      <alignment horizontal="center"/>
    </xf>
    <xf numFmtId="9" fontId="0" fillId="0" borderId="3" pivotButton="0" quotePrefix="0" xfId="2"/>
    <xf numFmtId="9" fontId="0" fillId="0" borderId="4" pivotButton="0" quotePrefix="0" xfId="2"/>
    <xf numFmtId="9" fontId="4" fillId="0" borderId="1" pivotButton="0" quotePrefix="0" xfId="2"/>
    <xf numFmtId="9" fontId="4" fillId="0" borderId="3" applyAlignment="1" pivotButton="0" quotePrefix="0" xfId="2">
      <alignment horizontal="center" wrapText="1"/>
    </xf>
    <xf numFmtId="9" fontId="0" fillId="0" borderId="1" applyAlignment="1" pivotButton="0" quotePrefix="0" xfId="2">
      <alignment horizontal="center"/>
    </xf>
    <xf numFmtId="9" fontId="0" fillId="0" borderId="8" applyAlignment="1" pivotButton="0" quotePrefix="0" xfId="2">
      <alignment horizontal="center"/>
    </xf>
    <xf numFmtId="9" fontId="0" fillId="0" borderId="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  <xf numFmtId="165" fontId="0" fillId="0" borderId="0" applyAlignment="1" pivotButton="0" quotePrefix="0" xfId="3">
      <alignment horizontal="center"/>
    </xf>
    <xf numFmtId="9" fontId="8" fillId="0" borderId="29" applyAlignment="1" pivotButton="0" quotePrefix="0" xfId="3">
      <alignment horizontal="center"/>
    </xf>
    <xf numFmtId="9" fontId="8" fillId="0" borderId="29" applyAlignment="1" pivotButton="0" quotePrefix="0" xfId="2">
      <alignment horizontal="center"/>
    </xf>
    <xf numFmtId="9" fontId="8" fillId="0" borderId="17" applyAlignment="1" pivotButton="0" quotePrefix="0" xfId="2">
      <alignment horizontal="center"/>
    </xf>
    <xf numFmtId="9" fontId="8" fillId="0" borderId="2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applyAlignment="1" pivotButton="0" quotePrefix="0" xfId="3">
      <alignment horizontal="center"/>
    </xf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87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8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8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3" displayName="Tabla3" ref="A3:P15" headerRowCount="1" totalsRowShown="0" headerRowDxfId="186" headerRowBorderDxfId="185" tableBorderDxfId="184" totalsRowBorderDxfId="183">
  <autoFilter ref="A3:P15"/>
  <tableColumns count="16">
    <tableColumn id="1" name="MES" dataDxfId="182"/>
    <tableColumn id="2" name="CORRIENTE" dataDxfId="181" dataCellStyle="Moneda"/>
    <tableColumn id="3" name="%" dataDxfId="180" dataCellStyle="Porcentaje"/>
    <tableColumn id="4" name="CANCELACIONES " dataDxfId="179" dataCellStyle="Moneda"/>
    <tableColumn id="5" name="%2" dataDxfId="178" dataCellStyle="Porcentaje"/>
    <tableColumn id="6" name="EFECTIVA" dataDxfId="177" dataCellStyle="Moneda"/>
    <tableColumn id="7" name="%3" dataDxfId="176" dataCellStyle="Porcentaje"/>
    <tableColumn id="8" name="RECUPERADA (MESES ANTE.)" dataDxfId="175" dataCellStyle="Moneda"/>
    <tableColumn id="9" name="%4" dataDxfId="174" dataCellStyle="Porcentaje"/>
    <tableColumn id="10" name="ANTICIPADA FUTURA" dataDxfId="173" dataCellStyle="Moneda"/>
    <tableColumn id="11" name="%5" dataDxfId="172" dataCellStyle="Porcentaje"/>
    <tableColumn id="12" name="VENCIDA " dataDxfId="171" dataCellStyle="Moneda"/>
    <tableColumn id="13" name="%6" dataDxfId="170" dataCellStyle="Porcentaje"/>
    <tableColumn id="14" name="ANTICIPADA ANT." dataDxfId="169" dataCellStyle="Moneda"/>
    <tableColumn id="15" name="%7" dataDxfId="168" dataCellStyle="Porcentaje"/>
    <tableColumn id="16" name="COBRANZA TOTAL GENERAL" dataDxfId="167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4:Q16" headerRowCount="1" totalsRowShown="0" headerRowDxfId="166" dataDxfId="164" headerRowBorderDxfId="165" tableBorderDxfId="163" totalsRowBorderDxfId="162">
  <autoFilter ref="A4:Q16"/>
  <tableColumns count="17">
    <tableColumn id="1" name="MES" dataDxfId="161"/>
    <tableColumn id="2" name="TOTAL MENSUAL" dataDxfId="160" dataCellStyle="Moneda"/>
    <tableColumn id="3" name="VENDEDOR 1" dataDxfId="159"/>
    <tableColumn id="13" name="TOTAL VENDEDOR" dataDxfId="158" dataCellStyle="Moneda"/>
    <tableColumn id="4" name="PORCENTAJE" dataDxfId="4" dataCellStyle="Millares"/>
    <tableColumn id="5" name="VENDEDOR2" dataDxfId="157"/>
    <tableColumn id="14" name="TOTAL VENDEDOR2" dataDxfId="156" dataCellStyle="Moneda"/>
    <tableColumn id="6" name="PORCENTAJE2" dataDxfId="3" dataCellStyle="Porcentaje"/>
    <tableColumn id="7" name="VENDEDOR3" dataDxfId="155"/>
    <tableColumn id="16" name="TOTAL VENDEDOR 3" dataDxfId="154" dataCellStyle="Moneda"/>
    <tableColumn id="8" name="PORCENTAJE3" dataDxfId="2" dataCellStyle="Porcentaje"/>
    <tableColumn id="9" name="VENDEDOR4" dataDxfId="153"/>
    <tableColumn id="17" name="TOTAL VENDEDOR 4" dataDxfId="152" dataCellStyle="Moneda"/>
    <tableColumn id="10" name="PORCENTAJE4" dataDxfId="1" dataCellStyle="Porcentaje"/>
    <tableColumn id="11" name="VENDEDOR5" dataDxfId="151"/>
    <tableColumn id="18" name="TOTAL VENDEDOR5" dataDxfId="150" dataCellStyle="Moneda"/>
    <tableColumn id="12" name="PORCENTAJE5" dataDxfId="0" dataCellStyle="Porcentaj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3:Q15" headerRowCount="1" totalsRowShown="0" headerRowDxfId="149" dataDxfId="147" headerRowBorderDxfId="148" tableBorderDxfId="146" totalsRowBorderDxfId="145">
  <autoFilter ref="A3:Q15"/>
  <tableColumns count="17">
    <tableColumn id="1" name="MES" dataDxfId="144"/>
    <tableColumn id="2" name="TOTAL MENSUAL" dataDxfId="143" dataCellStyle="Moneda"/>
    <tableColumn id="3" name="VENDEDOR" dataDxfId="142"/>
    <tableColumn id="13" name="TOTAL VENDEDOR" dataDxfId="141" dataCellStyle="Moneda"/>
    <tableColumn id="4" name="PORCENTAJE" dataDxfId="140" dataCellStyle="Porcentaje"/>
    <tableColumn id="5" name="VENDEDOR2" dataDxfId="139"/>
    <tableColumn id="14" name="TOTAL VENDEDOR2" dataDxfId="138" dataCellStyle="Moneda"/>
    <tableColumn id="6" name="PORCENTAJE2" dataDxfId="137" dataCellStyle="Porcentaje"/>
    <tableColumn id="7" name="VENDEDOR3" dataDxfId="136"/>
    <tableColumn id="16" name="TOTAL VENDEDOR3" dataDxfId="135" dataCellStyle="Moneda"/>
    <tableColumn id="8" name="PORCENTAJE3" dataDxfId="134" dataCellStyle="Porcentaje"/>
    <tableColumn id="9" name="VENDEDOR4" dataDxfId="133"/>
    <tableColumn id="17" name="TOTAL VENDEDOR4" dataDxfId="132" dataCellStyle="Moneda"/>
    <tableColumn id="10" name="PORCENTAJE4" dataDxfId="131" dataCellStyle="Porcentaje"/>
    <tableColumn id="11" name="VENDEDOR5" dataDxfId="130"/>
    <tableColumn id="18" name="TOTAL VENDEDOR5" dataDxfId="129" dataCellStyle="Moneda"/>
    <tableColumn id="12" name="PORCENTAJE5" dataDxfId="128" dataCellStyle="Porcentaj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4" name="Tabla4678910" displayName="Tabla4678910" ref="A3:Q15" headerRowCount="1" totalsRowShown="0" headerRowDxfId="127" dataDxfId="125" headerRowBorderDxfId="126" tableBorderDxfId="124" totalsRowBorderDxfId="123">
  <autoFilter ref="A3:Q15"/>
  <tableColumns count="17">
    <tableColumn id="1" name="MES" dataDxfId="122"/>
    <tableColumn id="2" name="TOTAL MENSUAL" dataDxfId="121" dataCellStyle="Moneda"/>
    <tableColumn id="3" name="VENDEDOR" dataDxfId="120"/>
    <tableColumn id="13" name="TOTAL VENDEDOR" dataDxfId="119" dataCellStyle="Moneda"/>
    <tableColumn id="4" name="PORCENTAJE" dataDxfId="118" dataCellStyle="Porcentaje"/>
    <tableColumn id="5" name="VENDEDOR2" dataDxfId="117"/>
    <tableColumn id="14" name="TOTAL VENDEDOR2" dataDxfId="116" dataCellStyle="Moneda"/>
    <tableColumn id="6" name="PORCENTAJE2" dataDxfId="115" dataCellStyle="Porcentaje"/>
    <tableColumn id="7" name="VENDEDOR3" dataDxfId="114"/>
    <tableColumn id="16" name="TOTAL VENDEDOR3" dataDxfId="113" dataCellStyle="Moneda"/>
    <tableColumn id="8" name="PORCENTAJE3" dataDxfId="112" dataCellStyle="Porcentaje"/>
    <tableColumn id="9" name="VENDEDOR4" dataDxfId="111"/>
    <tableColumn id="17" name="TOTAL VENDEDOR4" dataDxfId="110" dataCellStyle="Moneda"/>
    <tableColumn id="10" name="PORCENTAJE4" dataDxfId="109" dataCellStyle="Porcentaje"/>
    <tableColumn id="11" name="VENDEDOR5" dataDxfId="108"/>
    <tableColumn id="18" name="TOTAL VENDEDOR5" dataDxfId="107" dataCellStyle="Moneda"/>
    <tableColumn id="12" name="PORCENTAJE5" dataDxfId="106" dataCellStyle="Porcentaje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abla467" displayName="Tabla467" ref="A4:Q16" headerRowCount="1" totalsRowShown="0" headerRowDxfId="105" dataDxfId="103" headerRowBorderDxfId="104" tableBorderDxfId="102" totalsRowBorderDxfId="101">
  <autoFilter ref="A4:Q16"/>
  <tableColumns count="17">
    <tableColumn id="1" name="MES" dataDxfId="100"/>
    <tableColumn id="2" name="TOTAL MENSUAL" dataDxfId="99" dataCellStyle="Moneda"/>
    <tableColumn id="3" name="VENDEDOR" dataDxfId="98"/>
    <tableColumn id="13" name="TOTAL VENDEDOR" dataDxfId="97" dataCellStyle="Moneda"/>
    <tableColumn id="4" name="PORCENTAJE" dataDxfId="96" dataCellStyle="Porcentaje"/>
    <tableColumn id="5" name="VENDEDOR2" dataDxfId="95"/>
    <tableColumn id="14" name="TOTAL VENDEDOR2" dataDxfId="94" dataCellStyle="Moneda"/>
    <tableColumn id="6" name="PORCENTAJE2" dataDxfId="93" dataCellStyle="Porcentaje"/>
    <tableColumn id="7" name="VENDEDOR3" dataDxfId="92"/>
    <tableColumn id="16" name="TOTAL VENDEDOR3" dataDxfId="91" dataCellStyle="Moneda"/>
    <tableColumn id="8" name="PORCENTAJE3" dataDxfId="90" dataCellStyle="Porcentaje"/>
    <tableColumn id="9" name="VENDEDOR4" dataDxfId="89"/>
    <tableColumn id="17" name="TOTAL VENDEDOR4" dataDxfId="88" dataCellStyle="Moneda"/>
    <tableColumn id="10" name="PORCENTAJE4" dataDxfId="87" dataCellStyle="Porcentaje"/>
    <tableColumn id="11" name="VENDEDOR5" dataDxfId="86"/>
    <tableColumn id="18" name="TOTAL VENDEDOR5" dataDxfId="85" dataCellStyle="Moneda"/>
    <tableColumn id="12" name="PORCENTAJE5" dataDxfId="84" dataCellStyle="Porcentaje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6" name="Tabla4678" displayName="Tabla4678" ref="A4:Q16" headerRowCount="1" totalsRowShown="0" headerRowDxfId="83" dataDxfId="81" headerRowBorderDxfId="82" tableBorderDxfId="80" totalsRowBorderDxfId="79">
  <autoFilter ref="A4:Q16"/>
  <tableColumns count="17">
    <tableColumn id="1" name="MES" dataDxfId="78"/>
    <tableColumn id="2" name="TOTAL MENSUAL" dataDxfId="77" dataCellStyle="Moneda"/>
    <tableColumn id="3" name="VENDEDOR" dataDxfId="76"/>
    <tableColumn id="13" name="TOTAL VENDEDOR" dataDxfId="75" dataCellStyle="Moneda"/>
    <tableColumn id="4" name="PORCENTAJE" dataDxfId="74" dataCellStyle="Porcentaje"/>
    <tableColumn id="5" name="VENDEDOR2" dataDxfId="73"/>
    <tableColumn id="14" name="TOTAL VENDEDOR2" dataDxfId="72" dataCellStyle="Moneda"/>
    <tableColumn id="6" name="PORCENTAJE2" dataDxfId="71" dataCellStyle="Porcentaje"/>
    <tableColumn id="7" name="VENDEDOR3" dataDxfId="70"/>
    <tableColumn id="16" name="TOTAL VENDEDOR3" dataDxfId="69" dataCellStyle="Moneda"/>
    <tableColumn id="8" name="PORCENTAJE3" dataDxfId="68" dataCellStyle="Porcentaje"/>
    <tableColumn id="9" name="VENDEDOR4" dataDxfId="67"/>
    <tableColumn id="17" name="TOTAL VENDEDOR4" dataDxfId="66" dataCellStyle="Moneda"/>
    <tableColumn id="10" name="PORCENTAJE4" dataDxfId="65" dataCellStyle="Porcentaje"/>
    <tableColumn id="11" name="VENDEDOR5" dataDxfId="64"/>
    <tableColumn id="18" name="TOTAL VENDEDOR5" dataDxfId="63" dataCellStyle="Moneda"/>
    <tableColumn id="12" name="PORCENTAJE 5" dataDxfId="62" dataCellStyle="Porcentaje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7" name="Tabla46789" displayName="Tabla46789" ref="A4:Q16" headerRowCount="1" totalsRowShown="0" headerRowDxfId="61" dataDxfId="59" headerRowBorderDxfId="60" tableBorderDxfId="58" totalsRowBorderDxfId="57">
  <autoFilter ref="A4:Q16"/>
  <tableColumns count="17">
    <tableColumn id="1" name="MES" dataDxfId="56"/>
    <tableColumn id="2" name="TOTAL MENSUAL" dataDxfId="55" dataCellStyle="Moneda"/>
    <tableColumn id="3" name="VENDEDOR" dataDxfId="54"/>
    <tableColumn id="13" name="TOTAL VENDEDOR" dataDxfId="53" dataCellStyle="Moneda"/>
    <tableColumn id="4" name="PORCENTAJE" dataDxfId="52" dataCellStyle="Porcentaje"/>
    <tableColumn id="5" name="VENDEDOR2" dataDxfId="51"/>
    <tableColumn id="14" name="TOTAL VENDEDOR2" dataDxfId="50" dataCellStyle="Moneda"/>
    <tableColumn id="6" name="PORCENTAJE2" dataDxfId="49" dataCellStyle="Porcentaje"/>
    <tableColumn id="7" name="VENDEDOR3" dataDxfId="48"/>
    <tableColumn id="16" name="TOTAL VENDEDOR3" dataDxfId="47" dataCellStyle="Moneda"/>
    <tableColumn id="8" name="PORCENTAJE3" dataDxfId="46" dataCellStyle="Porcentaje"/>
    <tableColumn id="9" name="VENDEDOR4" dataDxfId="45"/>
    <tableColumn id="17" name="TOTAL VENDEDOR4" dataDxfId="44" dataCellStyle="Moneda"/>
    <tableColumn id="10" name="PORCENTAJE4" dataDxfId="43" dataCellStyle="Porcentaje"/>
    <tableColumn id="11" name="VENDEDOR5" dataDxfId="42"/>
    <tableColumn id="18" name="TOTAL VENDEDOR5" dataDxfId="41" dataCellStyle="Moneda"/>
    <tableColumn id="12" name="PORCENTAJE5" dataDxfId="40" dataCellStyle="Porcentaje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8" name="Tabla467891011" displayName="Tabla467891011" ref="A3:Q15" headerRowCount="1" totalsRowShown="0" headerRowDxfId="39" dataDxfId="37" headerRowBorderDxfId="38" tableBorderDxfId="36" totalsRowBorderDxfId="35">
  <autoFilter ref="A3:Q15"/>
  <tableColumns count="17">
    <tableColumn id="1" name="MES" dataDxfId="34"/>
    <tableColumn id="2" name="TOTAL MENSUAL" dataDxfId="33" dataCellStyle="Moneda"/>
    <tableColumn id="3" name="VENDEDOR" dataDxfId="32"/>
    <tableColumn id="13" name="TOTAL VENDEDOR" dataDxfId="31" dataCellStyle="Moneda"/>
    <tableColumn id="4" name="PORCENTAJE" dataDxfId="30" dataCellStyle="Porcentaje"/>
    <tableColumn id="5" name="VENDEDOR2" dataDxfId="29"/>
    <tableColumn id="14" name="TOTAL VENDEDOR2" dataDxfId="28" dataCellStyle="Moneda"/>
    <tableColumn id="6" name="PORCENTAJE2" dataDxfId="27" dataCellStyle="Porcentaje"/>
    <tableColumn id="7" name="VENDEDOR3" dataDxfId="26"/>
    <tableColumn id="16" name="TOTAL VENDEDOR3" dataDxfId="25" dataCellStyle="Moneda"/>
    <tableColumn id="8" name="PORCENTAJE3" dataDxfId="24" dataCellStyle="Porcentaje"/>
    <tableColumn id="9" name="VENDEDOR4" dataDxfId="23"/>
    <tableColumn id="17" name="TOTAL VENDEDOR4" dataDxfId="22" dataCellStyle="Moneda"/>
    <tableColumn id="10" name="PORCENTAJE5" dataDxfId="21" dataCellStyle="Porcentaje"/>
    <tableColumn id="11" name="VENDEDOR5" dataDxfId="20"/>
    <tableColumn id="18" name="TOTAL VENDEDOR5" dataDxfId="19" dataCellStyle="Moneda"/>
    <tableColumn id="12" name="PORCENTAJE4" dataDxfId="18" dataCellStyle="Porcentaje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9" name="Tabla11" displayName="Tabla11" ref="A4:I16" headerRowCount="1" totalsRowShown="0" headerRowDxfId="17" headerRowBorderDxfId="16" tableBorderDxfId="15" totalsRowBorderDxfId="14">
  <autoFilter ref="A4:I16"/>
  <tableColumns count="9">
    <tableColumn id="1" name="MES" dataDxfId="13"/>
    <tableColumn id="2" name="CORRIENTE" dataDxfId="12" dataCellStyle="Moneda"/>
    <tableColumn id="3" name="%" dataDxfId="11" dataCellStyle="Porcentaje"/>
    <tableColumn id="4" name="CANCELACIONES " dataDxfId="10" dataCellStyle="Moneda"/>
    <tableColumn id="5" name="%2" dataDxfId="9" dataCellStyle="Porcentaje"/>
    <tableColumn id="6" name="EFECTIVA" dataDxfId="8" dataCellStyle="Moneda"/>
    <tableColumn id="7" name="%3" dataDxfId="7" dataCellStyle="Porcentaje"/>
    <tableColumn id="8" name="VENCIDA" dataDxfId="6" dataCellStyle="Moneda"/>
    <tableColumn id="9" name="%4" dataDxfId="5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P15"/>
  <sheetViews>
    <sheetView tabSelected="1" workbookViewId="0">
      <selection activeCell="D22" sqref="D22"/>
    </sheetView>
  </sheetViews>
  <sheetFormatPr baseColWidth="10" defaultRowHeight="15"/>
  <cols>
    <col width="21.85546875" bestFit="1" customWidth="1" min="1" max="1"/>
    <col width="23.28515625" bestFit="1" customWidth="1" style="118" min="2" max="2"/>
    <col width="15.7109375" customWidth="1" style="63" min="3" max="3"/>
    <col width="26.5703125" customWidth="1" style="118" min="4" max="4"/>
    <col width="15.7109375" customWidth="1" style="63" min="5" max="5"/>
    <col width="20.5703125" bestFit="1" customWidth="1" style="118" min="6" max="6"/>
    <col width="15.7109375" customWidth="1" style="63" min="7" max="7"/>
    <col width="25.140625" bestFit="1" customWidth="1" style="118" min="8" max="8"/>
    <col width="15.7109375" customWidth="1" style="63" min="9" max="9"/>
    <col width="23.140625" bestFit="1" customWidth="1" style="118" min="10" max="10"/>
    <col width="15.7109375" customWidth="1" style="53" min="11" max="11"/>
    <col width="20.5703125" bestFit="1" customWidth="1" style="118" min="12" max="12"/>
    <col width="15.7109375" customWidth="1" style="63" min="13" max="13"/>
    <col width="30.42578125" bestFit="1" customWidth="1" style="118" min="14" max="14"/>
    <col width="15.7109375" customWidth="1" style="63" min="15" max="15"/>
    <col width="23.7109375" customWidth="1" style="118" min="16" max="16"/>
  </cols>
  <sheetData>
    <row r="3" ht="69.75" customFormat="1" customHeight="1" s="16">
      <c r="A3" s="14" t="inlineStr">
        <is>
          <t>MES</t>
        </is>
      </c>
      <c r="B3" s="119" t="inlineStr">
        <is>
          <t>CORRIENTE</t>
        </is>
      </c>
      <c r="C3" s="60" t="inlineStr">
        <is>
          <t>%</t>
        </is>
      </c>
      <c r="D3" s="119" t="inlineStr">
        <is>
          <t xml:space="preserve">CANCELACIONES </t>
        </is>
      </c>
      <c r="E3" s="60" t="inlineStr">
        <is>
          <t>%2</t>
        </is>
      </c>
      <c r="F3" s="119" t="inlineStr">
        <is>
          <t>EFECTIVA</t>
        </is>
      </c>
      <c r="G3" s="60" t="inlineStr">
        <is>
          <t>%3</t>
        </is>
      </c>
      <c r="H3" s="119" t="inlineStr">
        <is>
          <t>RECUPERADA (MESES ANTE.)</t>
        </is>
      </c>
      <c r="I3" s="60" t="inlineStr">
        <is>
          <t>%4</t>
        </is>
      </c>
      <c r="J3" s="119" t="inlineStr">
        <is>
          <t>ANTICIPADA FUTURA</t>
        </is>
      </c>
      <c r="K3" s="15" t="inlineStr">
        <is>
          <t>%5</t>
        </is>
      </c>
      <c r="L3" s="119" t="inlineStr">
        <is>
          <t xml:space="preserve">VENCIDA </t>
        </is>
      </c>
      <c r="M3" s="60" t="inlineStr">
        <is>
          <t>%6</t>
        </is>
      </c>
      <c r="N3" s="119" t="inlineStr">
        <is>
          <t>ANTICIPADA ANT.</t>
        </is>
      </c>
      <c r="O3" s="60" t="inlineStr">
        <is>
          <t>%7</t>
        </is>
      </c>
      <c r="P3" s="120" t="inlineStr">
        <is>
          <t>COBRANZA TOTAL GENERAL</t>
        </is>
      </c>
    </row>
    <row r="4" ht="23.25" customHeight="1">
      <c r="A4" s="1" t="inlineStr">
        <is>
          <t>ENERO</t>
        </is>
      </c>
      <c r="B4" s="121" t="n">
        <v>1444840.31</v>
      </c>
      <c r="C4" s="20" t="n">
        <v>1</v>
      </c>
      <c r="D4" s="121" t="n">
        <v>188185</v>
      </c>
      <c r="E4" s="20" t="n">
        <v>0.13</v>
      </c>
      <c r="F4" s="121" t="n">
        <v>930171.3100000001</v>
      </c>
      <c r="G4" s="20" t="n">
        <v>0.65</v>
      </c>
      <c r="H4" s="121" t="n">
        <v>130037.5</v>
      </c>
      <c r="I4" s="20" t="n"/>
      <c r="J4" s="121" t="n">
        <v>64947</v>
      </c>
      <c r="K4" s="20" t="n"/>
      <c r="L4" s="121" t="n">
        <v>226688</v>
      </c>
      <c r="M4" s="20" t="n">
        <v>0.16</v>
      </c>
      <c r="N4" s="121" t="n">
        <v>79894</v>
      </c>
      <c r="O4" s="20" t="n">
        <v>0.06</v>
      </c>
      <c r="P4" s="122" t="n">
        <v>1125155.81</v>
      </c>
    </row>
    <row r="5" ht="23.25" customHeight="1">
      <c r="A5" s="1" t="inlineStr">
        <is>
          <t>FEBRERO</t>
        </is>
      </c>
      <c r="B5" s="123" t="n">
        <v>1399021.84</v>
      </c>
      <c r="C5" s="20" t="n">
        <v>1</v>
      </c>
      <c r="D5" s="123" t="n">
        <v>153276</v>
      </c>
      <c r="E5" s="20" t="n">
        <v>0.11</v>
      </c>
      <c r="F5" s="123" t="n">
        <v>929769.84</v>
      </c>
      <c r="G5" s="20" t="n">
        <v>0.68</v>
      </c>
      <c r="H5" s="123" t="n">
        <v>109031</v>
      </c>
      <c r="I5" s="20" t="n"/>
      <c r="J5" s="123" t="n">
        <v>67811</v>
      </c>
      <c r="K5" s="59" t="n"/>
      <c r="L5" s="123" t="n">
        <v>231890</v>
      </c>
      <c r="M5" s="20" t="n">
        <v>0.17</v>
      </c>
      <c r="N5" s="123" t="n">
        <v>62012</v>
      </c>
      <c r="O5" s="20" t="n">
        <v>0.04</v>
      </c>
      <c r="P5" s="124" t="n">
        <v>1106611.84</v>
      </c>
    </row>
    <row r="6" ht="23.25" customHeight="1">
      <c r="A6" s="1" t="inlineStr">
        <is>
          <t>MARZO</t>
        </is>
      </c>
      <c r="B6" s="125" t="n"/>
      <c r="C6" s="61" t="n"/>
      <c r="D6" s="125" t="n"/>
      <c r="E6" s="61" t="n"/>
      <c r="F6" s="125" t="n"/>
      <c r="G6" s="61" t="n"/>
      <c r="H6" s="125" t="n"/>
      <c r="I6" s="61" t="n"/>
      <c r="J6" s="125" t="n"/>
      <c r="K6" s="21" t="n"/>
      <c r="L6" s="125" t="n"/>
      <c r="M6" s="61" t="n"/>
      <c r="N6" s="125" t="n"/>
      <c r="O6" s="61" t="n"/>
      <c r="P6" s="126" t="n"/>
    </row>
    <row r="7" ht="23.25" customHeight="1">
      <c r="A7" s="1" t="inlineStr">
        <is>
          <t>ABRIL</t>
        </is>
      </c>
      <c r="B7" s="125" t="n"/>
      <c r="C7" s="61" t="n"/>
      <c r="D7" s="125" t="n"/>
      <c r="E7" s="61" t="n"/>
      <c r="F7" s="125" t="n"/>
      <c r="G7" s="61" t="n"/>
      <c r="H7" s="125" t="n"/>
      <c r="I7" s="61" t="n"/>
      <c r="J7" s="125" t="n"/>
      <c r="K7" s="21" t="n"/>
      <c r="L7" s="125" t="n"/>
      <c r="M7" s="61" t="n"/>
      <c r="N7" s="125" t="n"/>
      <c r="O7" s="61" t="n"/>
      <c r="P7" s="126" t="n"/>
    </row>
    <row r="8" ht="23.25" customHeight="1">
      <c r="A8" s="1" t="inlineStr">
        <is>
          <t>MAYO</t>
        </is>
      </c>
      <c r="B8" s="125" t="n"/>
      <c r="C8" s="61" t="n"/>
      <c r="D8" s="125" t="n"/>
      <c r="E8" s="61" t="n"/>
      <c r="F8" s="125" t="n"/>
      <c r="G8" s="61" t="n"/>
      <c r="H8" s="125" t="n"/>
      <c r="I8" s="61" t="n"/>
      <c r="J8" s="125" t="n"/>
      <c r="K8" s="21" t="n"/>
      <c r="L8" s="125" t="n"/>
      <c r="M8" s="61" t="n"/>
      <c r="N8" s="125" t="n"/>
      <c r="O8" s="61" t="n"/>
      <c r="P8" s="126" t="n"/>
    </row>
    <row r="9" ht="23.25" customHeight="1">
      <c r="A9" s="1" t="inlineStr">
        <is>
          <t>JUNIO</t>
        </is>
      </c>
      <c r="B9" s="125" t="n"/>
      <c r="C9" s="61" t="n"/>
      <c r="D9" s="125" t="n"/>
      <c r="E9" s="61" t="n"/>
      <c r="F9" s="125" t="n"/>
      <c r="G9" s="61" t="n"/>
      <c r="H9" s="125" t="n"/>
      <c r="I9" s="61" t="n"/>
      <c r="J9" s="125" t="n"/>
      <c r="K9" s="21" t="n"/>
      <c r="L9" s="125" t="n"/>
      <c r="M9" s="61" t="n"/>
      <c r="N9" s="125" t="n"/>
      <c r="O9" s="61" t="n"/>
      <c r="P9" s="126" t="n"/>
    </row>
    <row r="10" ht="23.25" customHeight="1">
      <c r="A10" s="1" t="inlineStr">
        <is>
          <t>JULIO</t>
        </is>
      </c>
      <c r="B10" s="125" t="n"/>
      <c r="C10" s="61" t="n"/>
      <c r="D10" s="125" t="n"/>
      <c r="E10" s="61" t="n"/>
      <c r="F10" s="125" t="n"/>
      <c r="G10" s="61" t="n"/>
      <c r="H10" s="125" t="n"/>
      <c r="I10" s="61" t="n"/>
      <c r="J10" s="125" t="n"/>
      <c r="K10" s="21" t="n"/>
      <c r="L10" s="125" t="n"/>
      <c r="M10" s="61" t="n"/>
      <c r="N10" s="125" t="n"/>
      <c r="O10" s="61" t="n"/>
      <c r="P10" s="126" t="n"/>
    </row>
    <row r="11" ht="23.25" customHeight="1">
      <c r="A11" s="1" t="inlineStr">
        <is>
          <t>AGOSTO</t>
        </is>
      </c>
      <c r="B11" s="125" t="n"/>
      <c r="C11" s="61" t="n"/>
      <c r="D11" s="125" t="n"/>
      <c r="E11" s="61" t="n"/>
      <c r="F11" s="125" t="n"/>
      <c r="G11" s="61" t="n"/>
      <c r="H11" s="125" t="n"/>
      <c r="I11" s="61" t="n"/>
      <c r="J11" s="125" t="n"/>
      <c r="K11" s="21" t="n"/>
      <c r="L11" s="125" t="n"/>
      <c r="M11" s="61" t="n"/>
      <c r="N11" s="125" t="n"/>
      <c r="O11" s="61" t="n"/>
      <c r="P11" s="126" t="n"/>
    </row>
    <row r="12" ht="23.25" customHeight="1">
      <c r="A12" s="1" t="inlineStr">
        <is>
          <t>SEPTIEMBRE</t>
        </is>
      </c>
      <c r="B12" s="125" t="n"/>
      <c r="C12" s="61" t="n"/>
      <c r="D12" s="125" t="n"/>
      <c r="E12" s="61" t="n"/>
      <c r="F12" s="125" t="n"/>
      <c r="G12" s="61" t="n"/>
      <c r="H12" s="125" t="n"/>
      <c r="I12" s="61" t="n"/>
      <c r="J12" s="125" t="n"/>
      <c r="K12" s="21" t="n"/>
      <c r="L12" s="125" t="n"/>
      <c r="M12" s="61" t="n"/>
      <c r="N12" s="125" t="n"/>
      <c r="O12" s="61" t="n"/>
      <c r="P12" s="126" t="n"/>
    </row>
    <row r="13" ht="23.25" customHeight="1">
      <c r="A13" s="1" t="inlineStr">
        <is>
          <t>OCTUBRE</t>
        </is>
      </c>
      <c r="B13" s="125" t="n"/>
      <c r="C13" s="61" t="n"/>
      <c r="D13" s="125" t="n"/>
      <c r="E13" s="61" t="n"/>
      <c r="F13" s="125" t="n"/>
      <c r="G13" s="61" t="n"/>
      <c r="H13" s="125" t="n"/>
      <c r="I13" s="61" t="n"/>
      <c r="J13" s="125" t="n"/>
      <c r="K13" s="21" t="n"/>
      <c r="L13" s="125" t="n"/>
      <c r="M13" s="61" t="n"/>
      <c r="N13" s="125" t="n"/>
      <c r="O13" s="61" t="n"/>
      <c r="P13" s="126" t="n"/>
    </row>
    <row r="14" ht="23.25" customHeight="1">
      <c r="A14" s="1" t="inlineStr">
        <is>
          <t>NOVIEMBRE</t>
        </is>
      </c>
      <c r="B14" s="125" t="n"/>
      <c r="C14" s="61" t="n"/>
      <c r="D14" s="125" t="n"/>
      <c r="E14" s="61" t="n"/>
      <c r="F14" s="125" t="n"/>
      <c r="G14" s="61" t="n"/>
      <c r="H14" s="125" t="n"/>
      <c r="I14" s="61" t="n"/>
      <c r="J14" s="125" t="n"/>
      <c r="K14" s="21" t="n"/>
      <c r="L14" s="125" t="n"/>
      <c r="M14" s="61" t="n"/>
      <c r="N14" s="125" t="n"/>
      <c r="O14" s="61" t="n"/>
      <c r="P14" s="126" t="n"/>
    </row>
    <row r="15" ht="23.25" customHeight="1">
      <c r="A15" s="2" t="inlineStr">
        <is>
          <t>DICIEMBRE</t>
        </is>
      </c>
      <c r="B15" s="127" t="n"/>
      <c r="C15" s="62" t="n"/>
      <c r="D15" s="127" t="n"/>
      <c r="E15" s="62" t="n"/>
      <c r="F15" s="127" t="n"/>
      <c r="G15" s="62" t="n"/>
      <c r="H15" s="127" t="n"/>
      <c r="I15" s="62" t="n"/>
      <c r="J15" s="127" t="n"/>
      <c r="K15" s="22" t="n"/>
      <c r="L15" s="127" t="n"/>
      <c r="M15" s="62" t="n"/>
      <c r="N15" s="127" t="n"/>
      <c r="O15" s="62" t="n"/>
      <c r="P15" s="128" t="n"/>
    </row>
  </sheetData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E22" sqref="E22"/>
    </sheetView>
  </sheetViews>
  <sheetFormatPr baseColWidth="10" defaultRowHeight="15"/>
  <cols>
    <col width="19.42578125" bestFit="1" customWidth="1" min="1" max="1"/>
    <col width="21.42578125" bestFit="1" customWidth="1" style="118" min="2" max="2"/>
    <col width="14.140625" customWidth="1" min="3" max="3"/>
    <col width="18.42578125" customWidth="1" style="118" min="4" max="4"/>
    <col width="15.7109375" customWidth="1" style="129" min="5" max="5"/>
    <col width="14.85546875" customWidth="1" min="6" max="6"/>
    <col width="20.140625" bestFit="1" customWidth="1" style="118" min="7" max="7"/>
    <col width="15.7109375" customWidth="1" style="63" min="8" max="8"/>
    <col width="14.42578125" customWidth="1" min="9" max="9"/>
    <col width="20.140625" bestFit="1" customWidth="1" style="118" min="10" max="10"/>
    <col width="15.7109375" customWidth="1" style="63" min="11" max="11"/>
    <col width="14.42578125" customWidth="1" min="12" max="12"/>
    <col width="18.7109375" bestFit="1" customWidth="1" style="118" min="13" max="13"/>
    <col width="15.7109375" customWidth="1" style="63" min="14" max="14"/>
    <col width="16.5703125" customWidth="1" min="15" max="15"/>
    <col width="18.7109375" bestFit="1" customWidth="1" style="118" min="16" max="16"/>
    <col width="15.7109375" customWidth="1" style="63" min="17" max="17"/>
    <col width="23.42578125" customWidth="1" min="19" max="19"/>
  </cols>
  <sheetData>
    <row r="1"/>
    <row r="2"/>
    <row r="3" ht="15.75" customHeight="1" thickBot="1"/>
    <row r="4" ht="57.75" customFormat="1" customHeight="1" s="4" thickBot="1">
      <c r="A4" s="39" t="inlineStr">
        <is>
          <t>MES</t>
        </is>
      </c>
      <c r="B4" s="130" t="inlineStr">
        <is>
          <t>TOTAL MENSUAL</t>
        </is>
      </c>
      <c r="C4" s="48" t="inlineStr">
        <is>
          <t>VENDEDOR 1</t>
        </is>
      </c>
      <c r="D4" s="131" t="inlineStr">
        <is>
          <t>TOTAL VENDEDOR</t>
        </is>
      </c>
      <c r="E4" s="132" t="inlineStr">
        <is>
          <t>PORCENTAJE</t>
        </is>
      </c>
      <c r="F4" s="48" t="inlineStr">
        <is>
          <t>VENDEDOR2</t>
        </is>
      </c>
      <c r="G4" s="131" t="inlineStr">
        <is>
          <t>TOTAL VENDEDOR2</t>
        </is>
      </c>
      <c r="H4" s="49" t="inlineStr">
        <is>
          <t>PORCENTAJE2</t>
        </is>
      </c>
      <c r="I4" s="48" t="inlineStr">
        <is>
          <t>VENDEDOR3</t>
        </is>
      </c>
      <c r="J4" s="131" t="inlineStr">
        <is>
          <t>TOTAL VENDEDOR 3</t>
        </is>
      </c>
      <c r="K4" s="49" t="inlineStr">
        <is>
          <t>PORCENTAJE3</t>
        </is>
      </c>
      <c r="L4" s="48" t="inlineStr">
        <is>
          <t>VENDEDOR4</t>
        </is>
      </c>
      <c r="M4" s="131" t="inlineStr">
        <is>
          <t>TOTAL VENDEDOR 4</t>
        </is>
      </c>
      <c r="N4" s="49" t="inlineStr">
        <is>
          <t>PORCENTAJE4</t>
        </is>
      </c>
      <c r="O4" s="48" t="inlineStr">
        <is>
          <t>VENDEDOR5</t>
        </is>
      </c>
      <c r="P4" s="133" t="inlineStr">
        <is>
          <t>TOTAL VENDEDOR5</t>
        </is>
      </c>
      <c r="Q4" s="49" t="inlineStr">
        <is>
          <t>PORCENTAJE5</t>
        </is>
      </c>
      <c r="S4" s="27" t="inlineStr">
        <is>
          <t>CODIGO DE COLORES</t>
        </is>
      </c>
    </row>
    <row r="5" ht="23.25" customFormat="1" customHeight="1" s="4">
      <c r="A5" s="40" t="inlineStr">
        <is>
          <t>ENERO</t>
        </is>
      </c>
      <c r="B5" s="134" t="n">
        <v>1444840.31</v>
      </c>
      <c r="C5" s="135" t="inlineStr">
        <is>
          <t>V1 COCO</t>
        </is>
      </c>
      <c r="D5" s="136" t="n">
        <v>217124</v>
      </c>
      <c r="E5" s="114" t="n">
        <v>0.15</v>
      </c>
      <c r="F5" s="137" t="inlineStr">
        <is>
          <t>V6 GABY</t>
        </is>
      </c>
      <c r="G5" s="136" t="n">
        <v>182505.82</v>
      </c>
      <c r="H5" s="115" t="n">
        <v>0.13</v>
      </c>
      <c r="I5" s="50" t="inlineStr">
        <is>
          <t>V39 JOSE C.</t>
        </is>
      </c>
      <c r="J5" s="136" t="n">
        <v>171856.14</v>
      </c>
      <c r="K5" s="115" t="n">
        <v>0.12</v>
      </c>
      <c r="L5" s="51" t="inlineStr">
        <is>
          <t>V38 LAURA</t>
        </is>
      </c>
      <c r="M5" s="136" t="n">
        <v>152332.72</v>
      </c>
      <c r="N5" s="115" t="n">
        <v>0.11</v>
      </c>
      <c r="O5" s="52" t="inlineStr">
        <is>
          <t>V55 GEOVANNI</t>
        </is>
      </c>
      <c r="P5" s="138" t="n">
        <v>134661</v>
      </c>
      <c r="Q5" s="115" t="n">
        <v>0.09</v>
      </c>
      <c r="S5" s="139" t="inlineStr">
        <is>
          <t>EDGAR</t>
        </is>
      </c>
    </row>
    <row r="6" ht="23.25" customFormat="1" customHeight="1" s="4">
      <c r="A6" s="40" t="inlineStr">
        <is>
          <t>FEBRERO</t>
        </is>
      </c>
      <c r="B6" s="140" t="n">
        <v>1399021.84</v>
      </c>
      <c r="C6" s="135" t="inlineStr">
        <is>
          <t>V1 COCO</t>
        </is>
      </c>
      <c r="D6" s="141" t="n">
        <v>243722</v>
      </c>
      <c r="E6" s="114" t="n">
        <v>0.17</v>
      </c>
      <c r="F6" s="137" t="inlineStr">
        <is>
          <t>V6 GABY</t>
        </is>
      </c>
      <c r="G6" s="141" t="n">
        <v>165169.16</v>
      </c>
      <c r="H6" s="116" t="n">
        <v>0.12</v>
      </c>
      <c r="I6" s="51" t="inlineStr">
        <is>
          <t>V38 LAURA</t>
        </is>
      </c>
      <c r="J6" s="141" t="n">
        <v>159040.33</v>
      </c>
      <c r="K6" s="116" t="n">
        <v>0.11</v>
      </c>
      <c r="L6" s="52" t="inlineStr">
        <is>
          <t>V55 GEOVANNI</t>
        </is>
      </c>
      <c r="M6" s="141" t="n">
        <v>152234.16</v>
      </c>
      <c r="N6" s="116" t="n">
        <v>0.11</v>
      </c>
      <c r="O6" s="50" t="inlineStr">
        <is>
          <t>V39 JOSE C.</t>
        </is>
      </c>
      <c r="P6" s="142" t="n">
        <v>148475</v>
      </c>
      <c r="Q6" s="116" t="n">
        <v>0.11</v>
      </c>
      <c r="S6" s="143" t="inlineStr">
        <is>
          <t>FRANCISCO</t>
        </is>
      </c>
    </row>
    <row r="7" ht="23.25" customFormat="1" customHeight="1" s="4">
      <c r="A7" s="40" t="inlineStr">
        <is>
          <t>MARZO</t>
        </is>
      </c>
      <c r="B7" s="140" t="n">
        <v>1448890.41</v>
      </c>
      <c r="C7" s="135" t="inlineStr">
        <is>
          <t>V1 COCO</t>
        </is>
      </c>
      <c r="D7" s="141" t="n">
        <v>252849.32</v>
      </c>
      <c r="E7" s="114" t="n">
        <v>0.1745123842734248</v>
      </c>
      <c r="F7" s="137" t="inlineStr">
        <is>
          <t>V6 GABY</t>
        </is>
      </c>
      <c r="G7" s="141" t="n">
        <v>223974.1</v>
      </c>
      <c r="H7" s="116" t="n">
        <v>0.1545831889383545</v>
      </c>
      <c r="I7" s="51" t="inlineStr">
        <is>
          <t>V38 LAURA</t>
        </is>
      </c>
      <c r="J7" s="141" t="n">
        <v>162157.89</v>
      </c>
      <c r="K7" s="116" t="n">
        <v>0.1119186716129897</v>
      </c>
      <c r="L7" s="5" t="inlineStr">
        <is>
          <t>V39 JOSE C.</t>
        </is>
      </c>
      <c r="M7" s="141" t="n">
        <v>156419.72</v>
      </c>
      <c r="N7" s="116" t="n">
        <v>0.107958282365883</v>
      </c>
      <c r="O7" s="26" t="inlineStr">
        <is>
          <t>V55 GEOVANNI</t>
        </is>
      </c>
      <c r="P7" s="142" t="n">
        <v>103059</v>
      </c>
      <c r="Q7" s="116" t="n">
        <v>0.07112960323893647</v>
      </c>
      <c r="S7" s="18" t="inlineStr">
        <is>
          <t>HUMBERTO</t>
        </is>
      </c>
    </row>
    <row r="8" ht="23.25" customFormat="1" customHeight="1" s="4">
      <c r="A8" s="40" t="inlineStr">
        <is>
          <t>ABRIL</t>
        </is>
      </c>
      <c r="B8" s="140" t="n">
        <v>1365310</v>
      </c>
      <c r="C8" s="33" t="inlineStr">
        <is>
          <t>1</t>
        </is>
      </c>
      <c r="D8" s="141" t="n">
        <v>243902</v>
      </c>
      <c r="E8" s="114" t="n">
        <v>0.1786422131237594</v>
      </c>
      <c r="F8" s="33" t="inlineStr">
        <is>
          <t>6</t>
        </is>
      </c>
      <c r="G8" s="141" t="n">
        <v>181028</v>
      </c>
      <c r="H8" s="116" t="n">
        <v>0.1325911331492482</v>
      </c>
      <c r="I8" s="33" t="inlineStr">
        <is>
          <t>38</t>
        </is>
      </c>
      <c r="J8" s="141" t="n">
        <v>172691</v>
      </c>
      <c r="K8" s="116" t="n">
        <v>0.1264848276215658</v>
      </c>
      <c r="L8" s="33" t="inlineStr">
        <is>
          <t>39</t>
        </is>
      </c>
      <c r="M8" s="141" t="n">
        <v>168363</v>
      </c>
      <c r="N8" s="116" t="n">
        <v>0.1233148515721704</v>
      </c>
      <c r="O8" s="33" t="inlineStr">
        <is>
          <t>55</t>
        </is>
      </c>
      <c r="P8" s="142" t="n">
        <v>120466</v>
      </c>
      <c r="Q8" s="116" t="n">
        <v>0.08823344148947858</v>
      </c>
      <c r="S8" s="25" t="inlineStr">
        <is>
          <t>JORGE</t>
        </is>
      </c>
    </row>
    <row r="9" ht="23.25" customFormat="1" customHeight="1" s="4">
      <c r="A9" s="40" t="inlineStr">
        <is>
          <t>MAYO</t>
        </is>
      </c>
      <c r="B9" s="140" t="n">
        <v>1381804</v>
      </c>
      <c r="C9" s="33" t="inlineStr">
        <is>
          <t>1</t>
        </is>
      </c>
      <c r="D9" s="141" t="n">
        <v>228133</v>
      </c>
      <c r="E9" s="114" t="n">
        <v>0.1650979444262717</v>
      </c>
      <c r="F9" s="33" t="inlineStr">
        <is>
          <t>6</t>
        </is>
      </c>
      <c r="G9" s="141" t="n">
        <v>204472</v>
      </c>
      <c r="H9" s="116" t="n">
        <v>0.147974676582207</v>
      </c>
      <c r="I9" s="33" t="inlineStr">
        <is>
          <t>39</t>
        </is>
      </c>
      <c r="J9" s="141" t="n">
        <v>181284</v>
      </c>
      <c r="K9" s="116" t="n">
        <v>0.1311937148828633</v>
      </c>
      <c r="L9" s="33" t="inlineStr">
        <is>
          <t>38</t>
        </is>
      </c>
      <c r="M9" s="141" t="n">
        <v>139036</v>
      </c>
      <c r="N9" s="116" t="n">
        <v>0.1006191905653769</v>
      </c>
      <c r="O9" s="33" t="inlineStr">
        <is>
          <t>55</t>
        </is>
      </c>
      <c r="P9" s="142" t="n">
        <v>115052</v>
      </c>
      <c r="Q9" s="116" t="n">
        <v>0.08326217032227436</v>
      </c>
      <c r="S9" s="8" t="inlineStr">
        <is>
          <t>OFICINA</t>
        </is>
      </c>
    </row>
    <row r="10" ht="23.25" customFormat="1" customHeight="1" s="4">
      <c r="A10" s="40" t="inlineStr">
        <is>
          <t>JUNIO</t>
        </is>
      </c>
      <c r="B10" s="140" t="n">
        <v>1319819</v>
      </c>
      <c r="C10" s="33" t="inlineStr">
        <is>
          <t>1</t>
        </is>
      </c>
      <c r="D10" s="141" t="n">
        <v>241462</v>
      </c>
      <c r="E10" s="114" t="n">
        <v>0.1829508440172478</v>
      </c>
      <c r="F10" s="33" t="inlineStr">
        <is>
          <t>6</t>
        </is>
      </c>
      <c r="G10" s="141" t="n">
        <v>227785</v>
      </c>
      <c r="H10" s="116" t="n">
        <v>0.1725880594232997</v>
      </c>
      <c r="I10" s="33" t="inlineStr">
        <is>
          <t>39</t>
        </is>
      </c>
      <c r="J10" s="141" t="n">
        <v>180828</v>
      </c>
      <c r="K10" s="116" t="n">
        <v>0.1370096960265006</v>
      </c>
      <c r="L10" s="33" t="inlineStr">
        <is>
          <t>55</t>
        </is>
      </c>
      <c r="M10" s="141" t="n">
        <v>122964</v>
      </c>
      <c r="N10" s="116" t="n">
        <v>0.09316732067048587</v>
      </c>
      <c r="O10" s="33" t="inlineStr">
        <is>
          <t>38</t>
        </is>
      </c>
      <c r="P10" s="142" t="n">
        <v>113643</v>
      </c>
      <c r="Q10" s="116" t="n">
        <v>0.08610498863859363</v>
      </c>
      <c r="S10" s="144" t="inlineStr">
        <is>
          <t>TRANSFER. / DEPTOS.</t>
        </is>
      </c>
    </row>
    <row r="11" ht="23.25" customFormat="1" customHeight="1" s="4">
      <c r="A11" s="40" t="inlineStr">
        <is>
          <t>JULIO</t>
        </is>
      </c>
      <c r="B11" s="140" t="n">
        <v>1374738</v>
      </c>
      <c r="C11" s="33" t="inlineStr">
        <is>
          <t>1</t>
        </is>
      </c>
      <c r="D11" s="141" t="n">
        <v>259452</v>
      </c>
      <c r="E11" s="114" t="n">
        <v>0.1887283249608289</v>
      </c>
      <c r="F11" s="33" t="inlineStr">
        <is>
          <t>6</t>
        </is>
      </c>
      <c r="G11" s="141" t="n">
        <v>243759</v>
      </c>
      <c r="H11" s="116" t="n">
        <v>0.1773130589246824</v>
      </c>
      <c r="I11" s="33" t="inlineStr">
        <is>
          <t>39</t>
        </is>
      </c>
      <c r="J11" s="141" t="n">
        <v>161123</v>
      </c>
      <c r="K11" s="116" t="n">
        <v>0.1172026960773617</v>
      </c>
      <c r="L11" s="33" t="inlineStr">
        <is>
          <t>38</t>
        </is>
      </c>
      <c r="M11" s="141" t="n">
        <v>140932</v>
      </c>
      <c r="N11" s="116" t="n">
        <v>0.102515533868999</v>
      </c>
      <c r="O11" s="33" t="inlineStr">
        <is>
          <t>55</t>
        </is>
      </c>
      <c r="P11" s="142" t="n">
        <v>117234</v>
      </c>
      <c r="Q11" s="116" t="n">
        <v>0.08527734011862624</v>
      </c>
      <c r="S11" s="145" t="inlineStr">
        <is>
          <t>V1 COCO</t>
        </is>
      </c>
    </row>
    <row r="12" ht="23.25" customFormat="1" customHeight="1" s="4">
      <c r="A12" s="40" t="inlineStr">
        <is>
          <t>AGOSTO</t>
        </is>
      </c>
      <c r="B12" s="140" t="n">
        <v>1402754</v>
      </c>
      <c r="C12" s="33" t="inlineStr">
        <is>
          <t>6</t>
        </is>
      </c>
      <c r="D12" s="141" t="n">
        <v>303049</v>
      </c>
      <c r="E12" s="114" t="n">
        <v>0.2160385926541646</v>
      </c>
      <c r="F12" s="33" t="inlineStr">
        <is>
          <t>1</t>
        </is>
      </c>
      <c r="G12" s="141" t="n">
        <v>247799</v>
      </c>
      <c r="H12" s="116" t="n">
        <v>0.176651786414439</v>
      </c>
      <c r="I12" s="33" t="inlineStr">
        <is>
          <t>39</t>
        </is>
      </c>
      <c r="J12" s="141" t="n">
        <v>167153</v>
      </c>
      <c r="K12" s="116" t="n">
        <v>0.1191605940884859</v>
      </c>
      <c r="L12" s="33" t="inlineStr">
        <is>
          <t>55</t>
        </is>
      </c>
      <c r="M12" s="141" t="n">
        <v>151814</v>
      </c>
      <c r="N12" s="116" t="n">
        <v>0.1082256760629448</v>
      </c>
      <c r="O12" s="33" t="inlineStr">
        <is>
          <t>38</t>
        </is>
      </c>
      <c r="P12" s="142" t="n">
        <v>126720</v>
      </c>
      <c r="Q12" s="116" t="n">
        <v>0.09033658075471537</v>
      </c>
      <c r="S12" s="7" t="inlineStr">
        <is>
          <t>V2 CARLOS</t>
        </is>
      </c>
    </row>
    <row r="13" ht="23.25" customFormat="1" customHeight="1" s="4">
      <c r="A13" s="40" t="inlineStr">
        <is>
          <t>SEPTIEMBRE</t>
        </is>
      </c>
      <c r="B13" s="140" t="n">
        <v>1277705</v>
      </c>
      <c r="C13" s="33" t="inlineStr">
        <is>
          <t>6</t>
        </is>
      </c>
      <c r="D13" s="141" t="n">
        <v>263310</v>
      </c>
      <c r="E13" s="114" t="n">
        <v>0.2060804332768519</v>
      </c>
      <c r="F13" s="33" t="inlineStr">
        <is>
          <t>1</t>
        </is>
      </c>
      <c r="G13" s="141" t="n">
        <v>230796</v>
      </c>
      <c r="H13" s="116" t="n">
        <v>0.1806332447630713</v>
      </c>
      <c r="I13" s="33" t="inlineStr">
        <is>
          <t>55</t>
        </is>
      </c>
      <c r="J13" s="141" t="n">
        <v>148555</v>
      </c>
      <c r="K13" s="116" t="n">
        <v>0.1162670569497654</v>
      </c>
      <c r="L13" s="33" t="inlineStr">
        <is>
          <t>39</t>
        </is>
      </c>
      <c r="M13" s="141" t="n">
        <v>145241</v>
      </c>
      <c r="N13" s="116" t="n">
        <v>0.1136733440035063</v>
      </c>
      <c r="O13" s="33" t="inlineStr">
        <is>
          <t>38</t>
        </is>
      </c>
      <c r="P13" s="142" t="n">
        <v>112224</v>
      </c>
      <c r="Q13" s="116" t="n">
        <v>0.08783248089347698</v>
      </c>
      <c r="S13" s="146" t="inlineStr">
        <is>
          <t>V22 SALVADOR</t>
        </is>
      </c>
    </row>
    <row r="14" ht="23.25" customFormat="1" customHeight="1" s="4">
      <c r="A14" s="40" t="inlineStr">
        <is>
          <t>OCTUBRE</t>
        </is>
      </c>
      <c r="B14" s="140" t="n">
        <v>1281848</v>
      </c>
      <c r="C14" s="33" t="inlineStr">
        <is>
          <t>6</t>
        </is>
      </c>
      <c r="D14" s="141" t="n">
        <v>237504</v>
      </c>
      <c r="E14" s="114" t="n">
        <v>0.1852824983929452</v>
      </c>
      <c r="F14" s="33" t="inlineStr">
        <is>
          <t>1</t>
        </is>
      </c>
      <c r="G14" s="141" t="n">
        <v>220171</v>
      </c>
      <c r="H14" s="116" t="n">
        <v>0.1717606143630134</v>
      </c>
      <c r="I14" s="33" t="inlineStr">
        <is>
          <t>39</t>
        </is>
      </c>
      <c r="J14" s="141" t="n">
        <v>151342</v>
      </c>
      <c r="K14" s="116" t="n">
        <v>0.1180654804625822</v>
      </c>
      <c r="L14" s="33" t="inlineStr">
        <is>
          <t>38</t>
        </is>
      </c>
      <c r="M14" s="141" t="n">
        <v>145388</v>
      </c>
      <c r="N14" s="116" t="n">
        <v>0.1134206239741373</v>
      </c>
      <c r="O14" s="33" t="inlineStr">
        <is>
          <t>55</t>
        </is>
      </c>
      <c r="P14" s="142" t="n">
        <v>144425</v>
      </c>
      <c r="Q14" s="116" t="n">
        <v>0.1126693648544913</v>
      </c>
      <c r="S14" s="147" t="inlineStr">
        <is>
          <t>V27 SANTIAGO</t>
        </is>
      </c>
    </row>
    <row r="15" ht="23.25" customFormat="1" customHeight="1" s="4">
      <c r="A15" s="40" t="inlineStr">
        <is>
          <t>NOVIEMBRE</t>
        </is>
      </c>
      <c r="B15" s="140" t="n">
        <v>1547077</v>
      </c>
      <c r="C15" s="33" t="inlineStr">
        <is>
          <t>1</t>
        </is>
      </c>
      <c r="D15" s="141" t="n">
        <v>277218</v>
      </c>
      <c r="E15" s="114" t="n">
        <v>0.179188</v>
      </c>
      <c r="F15" s="33" t="inlineStr">
        <is>
          <t>6</t>
        </is>
      </c>
      <c r="G15" s="141" t="n">
        <v>269102</v>
      </c>
      <c r="H15" s="116" t="n">
        <v>0.173942</v>
      </c>
      <c r="I15" s="33" t="inlineStr">
        <is>
          <t>55</t>
        </is>
      </c>
      <c r="J15" s="141" t="n">
        <v>182353</v>
      </c>
      <c r="K15" s="116" t="n">
        <v>0.117869</v>
      </c>
      <c r="L15" s="33" t="inlineStr">
        <is>
          <t>38</t>
        </is>
      </c>
      <c r="M15" s="141" t="n">
        <v>171074</v>
      </c>
      <c r="N15" s="116" t="n">
        <v>0.110579</v>
      </c>
      <c r="O15" s="33" t="inlineStr">
        <is>
          <t>39</t>
        </is>
      </c>
      <c r="P15" s="142" t="n">
        <v>162418</v>
      </c>
      <c r="Q15" s="116" t="n">
        <v>0.104984</v>
      </c>
      <c r="S15" s="148" t="inlineStr">
        <is>
          <t>V37 EDGARDO</t>
        </is>
      </c>
    </row>
    <row r="16" ht="24" customFormat="1" customHeight="1" s="4" thickBot="1">
      <c r="A16" s="41" t="inlineStr">
        <is>
          <t>DICIEMBRE</t>
        </is>
      </c>
      <c r="B16" s="149" t="n">
        <v>1452277</v>
      </c>
      <c r="C16" s="34" t="inlineStr">
        <is>
          <t>6</t>
        </is>
      </c>
      <c r="D16" s="150" t="n">
        <v>259428</v>
      </c>
      <c r="E16" s="114" t="n">
        <v>0.178635</v>
      </c>
      <c r="F16" s="34" t="inlineStr">
        <is>
          <t>1</t>
        </is>
      </c>
      <c r="G16" s="150" t="n">
        <v>208611</v>
      </c>
      <c r="H16" s="117" t="n">
        <v>0.143644</v>
      </c>
      <c r="I16" s="34" t="inlineStr">
        <is>
          <t>38</t>
        </is>
      </c>
      <c r="J16" s="150" t="n">
        <v>177882</v>
      </c>
      <c r="K16" s="117" t="n">
        <v>0.122485</v>
      </c>
      <c r="L16" s="34" t="inlineStr">
        <is>
          <t>55</t>
        </is>
      </c>
      <c r="M16" s="150" t="n">
        <v>176794</v>
      </c>
      <c r="N16" s="117" t="n">
        <v>0.121736</v>
      </c>
      <c r="O16" s="34" t="inlineStr">
        <is>
          <t>39</t>
        </is>
      </c>
      <c r="P16" s="151" t="n">
        <v>160971</v>
      </c>
      <c r="Q16" s="117" t="n">
        <v>0.11084</v>
      </c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O11" sqref="O11"/>
    </sheetView>
  </sheetViews>
  <sheetFormatPr baseColWidth="10" defaultRowHeight="15"/>
  <cols>
    <col width="19.42578125" bestFit="1" customWidth="1" min="1" max="1"/>
    <col width="17.42578125" bestFit="1" customWidth="1" style="153" min="2" max="2"/>
    <col width="19" bestFit="1" customWidth="1" min="3" max="3"/>
    <col width="18.7109375" bestFit="1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1.7109375" customWidth="1" min="9" max="9"/>
    <col width="20.140625" bestFit="1" customWidth="1" style="118" min="10" max="10"/>
    <col width="15.7109375" customWidth="1" style="53" min="11" max="11"/>
    <col width="20.85546875" customWidth="1" min="12" max="12"/>
    <col width="20.140625" bestFit="1" customWidth="1" style="118" min="13" max="13"/>
    <col width="15.7109375" customWidth="1" style="53" min="14" max="14"/>
    <col width="19.85546875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1"/>
    <row r="2" ht="15.7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PORCENTAJE4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188185</v>
      </c>
      <c r="C4" s="42" t="inlineStr">
        <is>
          <t>V65 DIEGO</t>
        </is>
      </c>
      <c r="D4" s="141" t="n">
        <v>32682</v>
      </c>
      <c r="E4" s="32" t="n">
        <v>0.17</v>
      </c>
      <c r="F4" s="43" t="inlineStr">
        <is>
          <t>V55 GEOVANNI</t>
        </is>
      </c>
      <c r="G4" s="141" t="n">
        <v>29271</v>
      </c>
      <c r="H4" s="32" t="n">
        <v>0.16</v>
      </c>
      <c r="I4" s="44" t="inlineStr">
        <is>
          <t>V56 SAUL</t>
        </is>
      </c>
      <c r="J4" s="141" t="n">
        <v>28754</v>
      </c>
      <c r="K4" s="32" t="n">
        <v>0.16</v>
      </c>
      <c r="L4" s="45" t="inlineStr">
        <is>
          <t>V39 JOSE C.</t>
        </is>
      </c>
      <c r="M4" s="141" t="n">
        <v>17575</v>
      </c>
      <c r="N4" s="32" t="n">
        <v>0.09</v>
      </c>
      <c r="O4" s="158" t="inlineStr">
        <is>
          <t>V1 COCO</t>
        </is>
      </c>
      <c r="P4" s="142" t="n">
        <v>16834</v>
      </c>
      <c r="Q4" s="32" t="n">
        <v>0.09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153276</v>
      </c>
      <c r="C5" s="43" t="inlineStr">
        <is>
          <t>V55 GEOVANNI</t>
        </is>
      </c>
      <c r="D5" s="141" t="n">
        <v>30995</v>
      </c>
      <c r="E5" s="32" t="n">
        <v>0.2</v>
      </c>
      <c r="F5" s="42" t="inlineStr">
        <is>
          <t>V65 DIEGO</t>
        </is>
      </c>
      <c r="G5" s="141" t="n">
        <v>26545</v>
      </c>
      <c r="H5" s="32" t="n">
        <v>0.17</v>
      </c>
      <c r="I5" s="44" t="inlineStr">
        <is>
          <t>V56 SAUL</t>
        </is>
      </c>
      <c r="J5" s="141" t="n">
        <v>21647</v>
      </c>
      <c r="K5" s="32" t="n">
        <v>0.14</v>
      </c>
      <c r="L5" s="6" t="inlineStr">
        <is>
          <t>V38 LAURA</t>
        </is>
      </c>
      <c r="M5" s="141" t="n">
        <v>10624</v>
      </c>
      <c r="N5" s="32" t="n">
        <v>0.07000000000000001</v>
      </c>
      <c r="O5" s="158" t="inlineStr">
        <is>
          <t>V1 COCO</t>
        </is>
      </c>
      <c r="P5" s="142" t="n">
        <v>9149</v>
      </c>
      <c r="Q5" s="32" t="n">
        <v>0.06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141848</v>
      </c>
      <c r="C6" s="43" t="inlineStr">
        <is>
          <t>V55 GEOVANNI</t>
        </is>
      </c>
      <c r="D6" s="141" t="n">
        <v>22380</v>
      </c>
      <c r="E6" s="32" t="n">
        <v>0.1577745192036546</v>
      </c>
      <c r="F6" s="145" t="inlineStr">
        <is>
          <t>V1 COCO</t>
        </is>
      </c>
      <c r="G6" s="141" t="n">
        <v>22132</v>
      </c>
      <c r="H6" s="32" t="n">
        <v>0.1560261688568045</v>
      </c>
      <c r="I6" s="24" t="inlineStr">
        <is>
          <t>V65 DIEGO</t>
        </is>
      </c>
      <c r="J6" s="141" t="n">
        <v>19721</v>
      </c>
      <c r="K6" s="32" t="n">
        <v>0.1390291015735153</v>
      </c>
      <c r="L6" s="9" t="inlineStr">
        <is>
          <t>V56 SAUL</t>
        </is>
      </c>
      <c r="M6" s="141" t="n">
        <v>19535</v>
      </c>
      <c r="N6" s="32" t="n">
        <v>0.1377178388133777</v>
      </c>
      <c r="O6" s="6" t="inlineStr">
        <is>
          <t>V38 LAURA</t>
        </is>
      </c>
      <c r="P6" s="142" t="n">
        <v>13766</v>
      </c>
      <c r="Q6" s="32" t="n">
        <v>0.09704754384975467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296007</v>
      </c>
      <c r="C7" s="33" t="inlineStr">
        <is>
          <t>1</t>
        </is>
      </c>
      <c r="D7" s="141" t="n">
        <v>41308</v>
      </c>
      <c r="E7" s="32" t="n">
        <v>0.1395507538673072</v>
      </c>
      <c r="F7" s="33" t="inlineStr">
        <is>
          <t>55</t>
        </is>
      </c>
      <c r="G7" s="141" t="n">
        <v>37303</v>
      </c>
      <c r="H7" s="32" t="n">
        <v>0.1260206684301385</v>
      </c>
      <c r="I7" s="33" t="inlineStr">
        <is>
          <t>39</t>
        </is>
      </c>
      <c r="J7" s="141" t="n">
        <v>36436</v>
      </c>
      <c r="K7" s="32" t="n">
        <v>0.1230916836426166</v>
      </c>
      <c r="L7" s="33" t="inlineStr">
        <is>
          <t>56</t>
        </is>
      </c>
      <c r="M7" s="141" t="n">
        <v>33781</v>
      </c>
      <c r="N7" s="32" t="n">
        <v>0.1141223011617968</v>
      </c>
      <c r="O7" s="33" t="inlineStr">
        <is>
          <t>38</t>
        </is>
      </c>
      <c r="P7" s="142" t="n">
        <v>29942</v>
      </c>
      <c r="Q7" s="32" t="n">
        <v>0.1011530132733348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257092</v>
      </c>
      <c r="C8" s="33" t="inlineStr">
        <is>
          <t>39</t>
        </is>
      </c>
      <c r="D8" s="141" t="n">
        <v>33628</v>
      </c>
      <c r="E8" s="32" t="n">
        <v>0.130801425170756</v>
      </c>
      <c r="F8" s="33" t="inlineStr">
        <is>
          <t>55</t>
        </is>
      </c>
      <c r="G8" s="141" t="n">
        <v>32969</v>
      </c>
      <c r="H8" s="32" t="n">
        <v>0.1282381404322188</v>
      </c>
      <c r="I8" s="33" t="inlineStr">
        <is>
          <t>56</t>
        </is>
      </c>
      <c r="J8" s="141" t="n">
        <v>31093</v>
      </c>
      <c r="K8" s="32" t="n">
        <v>0.1209411416924681</v>
      </c>
      <c r="L8" s="33" t="inlineStr">
        <is>
          <t>1</t>
        </is>
      </c>
      <c r="M8" s="141" t="n">
        <v>27634</v>
      </c>
      <c r="N8" s="32" t="n">
        <v>0.1074868140587805</v>
      </c>
      <c r="O8" s="33" t="inlineStr">
        <is>
          <t>38</t>
        </is>
      </c>
      <c r="P8" s="142" t="n">
        <v>25969</v>
      </c>
      <c r="Q8" s="32" t="n">
        <v>0.1010105331943429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164837</v>
      </c>
      <c r="C9" s="33" t="inlineStr">
        <is>
          <t>55</t>
        </is>
      </c>
      <c r="D9" s="141" t="n">
        <v>23631</v>
      </c>
      <c r="E9" s="32" t="n">
        <v>0.1433598039275163</v>
      </c>
      <c r="F9" s="33" t="inlineStr">
        <is>
          <t>1</t>
        </is>
      </c>
      <c r="G9" s="141" t="n">
        <v>20751</v>
      </c>
      <c r="H9" s="32" t="n">
        <v>0.1258879984469506</v>
      </c>
      <c r="I9" s="33" t="inlineStr">
        <is>
          <t>65</t>
        </is>
      </c>
      <c r="J9" s="141" t="n">
        <v>19050</v>
      </c>
      <c r="K9" s="32" t="n">
        <v>0.1155687133349915</v>
      </c>
      <c r="L9" s="33" t="inlineStr">
        <is>
          <t>56</t>
        </is>
      </c>
      <c r="M9" s="141" t="n">
        <v>17015</v>
      </c>
      <c r="N9" s="32" t="n">
        <v>0.1032231841152168</v>
      </c>
      <c r="O9" s="33" t="inlineStr">
        <is>
          <t>39</t>
        </is>
      </c>
      <c r="P9" s="142" t="n">
        <v>12382</v>
      </c>
      <c r="Q9" s="32" t="n">
        <v>0.07511663036818191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>
        <v>168303</v>
      </c>
      <c r="C10" s="33" t="inlineStr">
        <is>
          <t>55</t>
        </is>
      </c>
      <c r="D10" s="141" t="n">
        <v>28531</v>
      </c>
      <c r="E10" s="32" t="n">
        <v>0.1695216365721348</v>
      </c>
      <c r="F10" s="33" t="inlineStr">
        <is>
          <t>65</t>
        </is>
      </c>
      <c r="G10" s="141" t="n">
        <v>20029</v>
      </c>
      <c r="H10" s="32" t="n">
        <v>0.1190056029898457</v>
      </c>
      <c r="I10" s="33" t="inlineStr">
        <is>
          <t>56</t>
        </is>
      </c>
      <c r="J10" s="141" t="n">
        <v>18430</v>
      </c>
      <c r="K10" s="32" t="n">
        <v>0.1095048810775803</v>
      </c>
      <c r="L10" s="33" t="inlineStr">
        <is>
          <t>1</t>
        </is>
      </c>
      <c r="M10" s="141" t="n">
        <v>17963</v>
      </c>
      <c r="N10" s="32" t="n">
        <v>0.1067301236460431</v>
      </c>
      <c r="O10" s="33" t="inlineStr">
        <is>
          <t>39</t>
        </is>
      </c>
      <c r="P10" s="142" t="n">
        <v>17831</v>
      </c>
      <c r="Q10" s="32" t="n">
        <v>0.1059458239009406</v>
      </c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>
        <v>178527</v>
      </c>
      <c r="C11" s="33" t="inlineStr">
        <is>
          <t>55</t>
        </is>
      </c>
      <c r="D11" s="141" t="n">
        <v>43785</v>
      </c>
      <c r="E11" s="32" t="n">
        <v>0.2452570199465627</v>
      </c>
      <c r="F11" s="33" t="inlineStr">
        <is>
          <t>6</t>
        </is>
      </c>
      <c r="G11" s="141" t="n">
        <v>23215</v>
      </c>
      <c r="H11" s="32" t="n">
        <v>0.1300363530446375</v>
      </c>
      <c r="I11" s="33" t="inlineStr">
        <is>
          <t>1</t>
        </is>
      </c>
      <c r="J11" s="141" t="n">
        <v>20641</v>
      </c>
      <c r="K11" s="32" t="n">
        <v>0.1156183658494233</v>
      </c>
      <c r="L11" s="33" t="inlineStr">
        <is>
          <t>56</t>
        </is>
      </c>
      <c r="M11" s="141" t="n">
        <v>19462</v>
      </c>
      <c r="N11" s="32" t="n">
        <v>0.1090143227635036</v>
      </c>
      <c r="O11" s="33" t="inlineStr">
        <is>
          <t>65</t>
        </is>
      </c>
      <c r="P11" s="142" t="n">
        <v>18229</v>
      </c>
      <c r="Q11" s="32" t="n">
        <v>0.1021078044217401</v>
      </c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>
        <v>133890</v>
      </c>
      <c r="C12" s="33" t="inlineStr">
        <is>
          <t>55</t>
        </is>
      </c>
      <c r="D12" s="141" t="n">
        <v>26692</v>
      </c>
      <c r="E12" s="32" t="n">
        <v>0.1993576816789902</v>
      </c>
      <c r="F12" s="33" t="inlineStr">
        <is>
          <t>1</t>
        </is>
      </c>
      <c r="G12" s="141" t="n">
        <v>18424</v>
      </c>
      <c r="H12" s="32" t="n">
        <v>0.137605497049817</v>
      </c>
      <c r="I12" s="33" t="inlineStr">
        <is>
          <t>65</t>
        </is>
      </c>
      <c r="J12" s="141" t="n">
        <v>17191</v>
      </c>
      <c r="K12" s="32" t="n">
        <v>0.1283964448427814</v>
      </c>
      <c r="L12" s="33" t="inlineStr">
        <is>
          <t>56</t>
        </is>
      </c>
      <c r="M12" s="141" t="n">
        <v>15067</v>
      </c>
      <c r="N12" s="32" t="n">
        <v>0.112532676077377</v>
      </c>
      <c r="O12" s="33" t="inlineStr">
        <is>
          <t>6</t>
        </is>
      </c>
      <c r="P12" s="142" t="n">
        <v>14575</v>
      </c>
      <c r="Q12" s="32" t="n">
        <v>0.1088580177757861</v>
      </c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>
        <v>180329</v>
      </c>
      <c r="C13" s="33" t="inlineStr">
        <is>
          <t>55</t>
        </is>
      </c>
      <c r="D13" s="141" t="n">
        <v>36156</v>
      </c>
      <c r="E13" s="32" t="n">
        <v>0.2005001968624015</v>
      </c>
      <c r="F13" s="33" t="inlineStr">
        <is>
          <t>65</t>
        </is>
      </c>
      <c r="G13" s="141" t="n">
        <v>22404</v>
      </c>
      <c r="H13" s="32" t="n">
        <v>0.1242395843153347</v>
      </c>
      <c r="I13" s="33" t="inlineStr">
        <is>
          <t>39</t>
        </is>
      </c>
      <c r="J13" s="141" t="n">
        <v>22013</v>
      </c>
      <c r="K13" s="32" t="n">
        <v>0.1220713251889602</v>
      </c>
      <c r="L13" s="33" t="inlineStr">
        <is>
          <t>1</t>
        </is>
      </c>
      <c r="M13" s="141" t="n">
        <v>18034</v>
      </c>
      <c r="N13" s="32" t="n">
        <v>0.1000060999617366</v>
      </c>
      <c r="O13" s="33" t="inlineStr">
        <is>
          <t>38</t>
        </is>
      </c>
      <c r="P13" s="142" t="n">
        <v>18012</v>
      </c>
      <c r="Q13" s="32" t="n">
        <v>0.09988410072700453</v>
      </c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>
        <v>182675</v>
      </c>
      <c r="C14" s="33" t="inlineStr">
        <is>
          <t>55</t>
        </is>
      </c>
      <c r="D14" s="141" t="n">
        <v>40459</v>
      </c>
      <c r="E14" s="32" t="n">
        <v>0.221481</v>
      </c>
      <c r="F14" s="33" t="inlineStr">
        <is>
          <t>56</t>
        </is>
      </c>
      <c r="G14" s="141" t="n">
        <v>26034</v>
      </c>
      <c r="H14" s="32" t="n">
        <v>0.142515</v>
      </c>
      <c r="I14" s="33" t="inlineStr">
        <is>
          <t>65</t>
        </is>
      </c>
      <c r="J14" s="141" t="n">
        <v>23547</v>
      </c>
      <c r="K14" s="32" t="n">
        <v>0.128901</v>
      </c>
      <c r="L14" s="33" t="inlineStr">
        <is>
          <t>6</t>
        </is>
      </c>
      <c r="M14" s="141" t="n">
        <v>18932</v>
      </c>
      <c r="N14" s="32" t="n">
        <v>0.103638</v>
      </c>
      <c r="O14" s="33" t="inlineStr">
        <is>
          <t>38</t>
        </is>
      </c>
      <c r="P14" s="142" t="n">
        <v>16160</v>
      </c>
      <c r="Q14" s="32" t="n">
        <v>0.088463</v>
      </c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>
        <v>202397</v>
      </c>
      <c r="C15" s="34" t="inlineStr">
        <is>
          <t>55</t>
        </is>
      </c>
      <c r="D15" s="150" t="n">
        <v>41578</v>
      </c>
      <c r="E15" s="35" t="n">
        <v>0.205428</v>
      </c>
      <c r="F15" s="34" t="inlineStr">
        <is>
          <t>39</t>
        </is>
      </c>
      <c r="G15" s="150" t="n">
        <v>30438</v>
      </c>
      <c r="H15" s="35" t="n">
        <v>0.150388</v>
      </c>
      <c r="I15" s="34" t="inlineStr">
        <is>
          <t>65</t>
        </is>
      </c>
      <c r="J15" s="150" t="n">
        <v>26747</v>
      </c>
      <c r="K15" s="35" t="n">
        <v>0.132151</v>
      </c>
      <c r="L15" s="34" t="inlineStr">
        <is>
          <t>38</t>
        </is>
      </c>
      <c r="M15" s="150" t="n">
        <v>16968</v>
      </c>
      <c r="N15" s="35" t="n">
        <v>0.08383500000000001</v>
      </c>
      <c r="O15" s="34" t="inlineStr">
        <is>
          <t>56</t>
        </is>
      </c>
      <c r="P15" s="151" t="n">
        <v>16403</v>
      </c>
      <c r="Q15" s="35" t="n">
        <v>0.081044</v>
      </c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M12" sqref="M12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5.7109375" customWidth="1" min="3" max="3"/>
    <col width="15.7109375" customWidth="1" style="118" min="4" max="4"/>
    <col width="15.7109375" customWidth="1" style="53" min="5" max="5"/>
    <col width="20.140625" bestFit="1" customWidth="1" min="6" max="6"/>
    <col width="15.7109375" customWidth="1" style="118" min="7" max="7"/>
    <col width="15.7109375" customWidth="1" style="53" min="8" max="8"/>
    <col width="20.140625" bestFit="1" customWidth="1" min="9" max="9"/>
    <col width="15.7109375" customWidth="1" style="118" min="10" max="10"/>
    <col width="15.7109375" customWidth="1" style="53" min="11" max="11"/>
    <col width="20.140625" bestFit="1" customWidth="1" min="12" max="12"/>
    <col width="15.7109375" customWidth="1" style="118" min="13" max="13"/>
    <col width="15.7109375" customWidth="1" style="53" min="14" max="14"/>
    <col width="20.140625" bestFit="1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6" t="inlineStr">
        <is>
          <t>PORCENTAJE4</t>
        </is>
      </c>
      <c r="O3" s="29" t="inlineStr">
        <is>
          <t>VENDEDOR5</t>
        </is>
      </c>
      <c r="P3" s="155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226688</v>
      </c>
      <c r="C4" s="31" t="inlineStr">
        <is>
          <t>JORGE</t>
        </is>
      </c>
      <c r="D4" s="141" t="n">
        <v>58780</v>
      </c>
      <c r="E4" s="32" t="n">
        <v>0.26</v>
      </c>
      <c r="F4" s="161" t="inlineStr">
        <is>
          <t>EDGAR</t>
        </is>
      </c>
      <c r="G4" s="141" t="n">
        <v>40025</v>
      </c>
      <c r="H4" s="32" t="n">
        <v>0.18</v>
      </c>
      <c r="I4" s="162" t="inlineStr">
        <is>
          <t>TRANSFER. / DEPTOS.</t>
        </is>
      </c>
      <c r="J4" s="141" t="n">
        <v>35537</v>
      </c>
      <c r="K4" s="32" t="n">
        <v>0.16</v>
      </c>
      <c r="L4" s="163" t="inlineStr">
        <is>
          <t>FRANCISCO</t>
        </is>
      </c>
      <c r="M4" s="141" t="n">
        <v>21456</v>
      </c>
      <c r="N4" s="19" t="n">
        <v>0.09</v>
      </c>
      <c r="O4" s="38" t="inlineStr">
        <is>
          <t>V39 JOSE C.</t>
        </is>
      </c>
      <c r="P4" s="141" t="n">
        <v>21195</v>
      </c>
      <c r="Q4" s="32" t="n">
        <v>0.09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231890</v>
      </c>
      <c r="C5" s="31" t="inlineStr">
        <is>
          <t>JORGE</t>
        </is>
      </c>
      <c r="D5" s="141" t="n">
        <v>47220</v>
      </c>
      <c r="E5" s="32" t="n">
        <v>0.2</v>
      </c>
      <c r="F5" s="163" t="inlineStr">
        <is>
          <t>FRANCISCO</t>
        </is>
      </c>
      <c r="G5" s="141" t="n">
        <v>38404</v>
      </c>
      <c r="H5" s="32" t="n">
        <v>0.0017</v>
      </c>
      <c r="I5" s="162" t="inlineStr">
        <is>
          <t>TRANSFER. / DEPTOS.</t>
        </is>
      </c>
      <c r="J5" s="141" t="n">
        <v>35101</v>
      </c>
      <c r="K5" s="32" t="n">
        <v>0.15</v>
      </c>
      <c r="L5" s="38" t="inlineStr">
        <is>
          <t>V39 JOSE C.</t>
        </is>
      </c>
      <c r="M5" s="141" t="n">
        <v>23975</v>
      </c>
      <c r="N5" s="19" t="n">
        <v>0.1</v>
      </c>
      <c r="O5" s="161" t="inlineStr">
        <is>
          <t>EDGAR</t>
        </is>
      </c>
      <c r="P5" s="141" t="n">
        <v>20103</v>
      </c>
      <c r="Q5" s="32" t="n">
        <v>0.09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310205.37</v>
      </c>
      <c r="C6" s="18" t="inlineStr">
        <is>
          <t>HUMBERTO</t>
        </is>
      </c>
      <c r="D6" s="141" t="n">
        <v>52980</v>
      </c>
      <c r="E6" s="32" t="n">
        <v>0.1707900801330422</v>
      </c>
      <c r="F6" s="25" t="inlineStr">
        <is>
          <t>JORGE</t>
        </is>
      </c>
      <c r="G6" s="141" t="n">
        <v>52940</v>
      </c>
      <c r="H6" s="32" t="n">
        <v>0.1706611333001747</v>
      </c>
      <c r="I6" s="144" t="inlineStr">
        <is>
          <t>TRANSFER. / DEPTOS.</t>
        </is>
      </c>
      <c r="J6" s="141" t="n">
        <v>51890.73</v>
      </c>
      <c r="K6" s="32" t="n">
        <v>0.1672786322171018</v>
      </c>
      <c r="L6" s="143" t="inlineStr">
        <is>
          <t>FRANCISCO</t>
        </is>
      </c>
      <c r="M6" s="141" t="n">
        <v>51075</v>
      </c>
      <c r="N6" s="19" t="n">
        <v>0.1646489872177261</v>
      </c>
      <c r="O6" s="139" t="inlineStr">
        <is>
          <t>EDGAR</t>
        </is>
      </c>
      <c r="P6" s="141" t="n">
        <v>27880</v>
      </c>
      <c r="Q6" s="32" t="n">
        <v>0.08987594250866773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5643</v>
      </c>
      <c r="C7" s="33" t="inlineStr">
        <is>
          <t>JORGE</t>
        </is>
      </c>
      <c r="D7" s="141" t="n">
        <v>5643</v>
      </c>
      <c r="E7" s="32" t="n">
        <v>1</v>
      </c>
      <c r="F7" s="33" t="n"/>
      <c r="G7" s="141" t="n"/>
      <c r="H7" s="32" t="n"/>
      <c r="I7" s="33" t="n"/>
      <c r="J7" s="141" t="n"/>
      <c r="K7" s="32" t="n"/>
      <c r="L7" s="33" t="n"/>
      <c r="M7" s="141" t="n"/>
      <c r="N7" s="19" t="n"/>
      <c r="O7" s="33" t="n"/>
      <c r="P7" s="141" t="n"/>
      <c r="Q7" s="32" t="n"/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2049</v>
      </c>
      <c r="C8" s="33" t="inlineStr">
        <is>
          <t>JORGE</t>
        </is>
      </c>
      <c r="D8" s="141" t="n">
        <v>2049</v>
      </c>
      <c r="E8" s="32" t="n">
        <v>1</v>
      </c>
      <c r="F8" s="33" t="n"/>
      <c r="G8" s="141" t="n"/>
      <c r="H8" s="32" t="n"/>
      <c r="I8" s="33" t="n"/>
      <c r="J8" s="141" t="n"/>
      <c r="K8" s="32" t="n"/>
      <c r="L8" s="33" t="n"/>
      <c r="M8" s="141" t="n"/>
      <c r="N8" s="19" t="n"/>
      <c r="O8" s="33" t="n"/>
      <c r="P8" s="141" t="n"/>
      <c r="Q8" s="32" t="n"/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202866</v>
      </c>
      <c r="C9" s="33" t="inlineStr">
        <is>
          <t>HUMBERTO</t>
        </is>
      </c>
      <c r="D9" s="141" t="n">
        <v>34099</v>
      </c>
      <c r="E9" s="32" t="n">
        <v>0.1680863229915314</v>
      </c>
      <c r="F9" s="33" t="inlineStr">
        <is>
          <t>JORGE</t>
        </is>
      </c>
      <c r="G9" s="141" t="n">
        <v>29896</v>
      </c>
      <c r="H9" s="32" t="n">
        <v>0.1473682135005373</v>
      </c>
      <c r="I9" s="33" t="inlineStr">
        <is>
          <t>EDGAR</t>
        </is>
      </c>
      <c r="J9" s="141" t="n">
        <v>29207</v>
      </c>
      <c r="K9" s="32" t="n">
        <v>0.1439718829177881</v>
      </c>
      <c r="L9" s="33" t="inlineStr">
        <is>
          <t>V39</t>
        </is>
      </c>
      <c r="M9" s="141" t="n">
        <v>24151</v>
      </c>
      <c r="N9" s="19" t="n">
        <v>0.1190490274368302</v>
      </c>
      <c r="O9" s="33" t="inlineStr">
        <is>
          <t>DEPOSITO</t>
        </is>
      </c>
      <c r="P9" s="141" t="n">
        <v>18327</v>
      </c>
      <c r="Q9" s="32" t="n">
        <v>0.09034042175623318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>
        <v>159069</v>
      </c>
      <c r="C10" s="33" t="inlineStr">
        <is>
          <t>EDGAR</t>
        </is>
      </c>
      <c r="D10" s="141" t="n">
        <v>30774</v>
      </c>
      <c r="E10" s="32" t="n">
        <v>0.19346321407691</v>
      </c>
      <c r="F10" s="33" t="inlineStr">
        <is>
          <t>HUMBERTO</t>
        </is>
      </c>
      <c r="G10" s="141" t="n">
        <v>23968</v>
      </c>
      <c r="H10" s="32" t="n">
        <v>0.150676750341047</v>
      </c>
      <c r="I10" s="33" t="inlineStr">
        <is>
          <t>JORGE</t>
        </is>
      </c>
      <c r="J10" s="141" t="n">
        <v>22748</v>
      </c>
      <c r="K10" s="32" t="n">
        <v>0.1430071226951826</v>
      </c>
      <c r="L10" s="33" t="inlineStr">
        <is>
          <t>V39</t>
        </is>
      </c>
      <c r="M10" s="141" t="n">
        <v>22187</v>
      </c>
      <c r="N10" s="19" t="n">
        <v>0.1394803512940925</v>
      </c>
      <c r="O10" s="33" t="inlineStr">
        <is>
          <t>DEPOSITO</t>
        </is>
      </c>
      <c r="P10" s="141" t="n">
        <v>20884</v>
      </c>
      <c r="Q10" s="32" t="n">
        <v>0.1312889375051078</v>
      </c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>
        <v>163919</v>
      </c>
      <c r="C11" s="33" t="inlineStr">
        <is>
          <t>V39</t>
        </is>
      </c>
      <c r="D11" s="141" t="n">
        <v>27019</v>
      </c>
      <c r="E11" s="32" t="n">
        <v>0.1648314106357408</v>
      </c>
      <c r="F11" s="33" t="inlineStr">
        <is>
          <t>FRANCISCO</t>
        </is>
      </c>
      <c r="G11" s="141" t="n">
        <v>25634</v>
      </c>
      <c r="H11" s="32" t="n">
        <v>0.1563821155570739</v>
      </c>
      <c r="I11" s="33" t="inlineStr">
        <is>
          <t>JORGE</t>
        </is>
      </c>
      <c r="J11" s="141" t="n">
        <v>25246</v>
      </c>
      <c r="K11" s="32" t="n">
        <v>0.1540150928202344</v>
      </c>
      <c r="L11" s="33" t="inlineStr">
        <is>
          <t>RAUL</t>
        </is>
      </c>
      <c r="M11" s="141" t="n">
        <v>19991</v>
      </c>
      <c r="N11" s="19" t="n">
        <v>0.1219565761138123</v>
      </c>
      <c r="O11" s="33" t="inlineStr">
        <is>
          <t>EDGAR</t>
        </is>
      </c>
      <c r="P11" s="141" t="n">
        <v>19674</v>
      </c>
      <c r="Q11" s="32" t="n">
        <v>0.1200226941355182</v>
      </c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>
        <v>222772</v>
      </c>
      <c r="C12" s="33" t="inlineStr">
        <is>
          <t>FRANCISCO</t>
        </is>
      </c>
      <c r="D12" s="141" t="n">
        <v>43295</v>
      </c>
      <c r="E12" s="32" t="n">
        <v>0.1943466862980985</v>
      </c>
      <c r="F12" s="33" t="inlineStr">
        <is>
          <t>V39</t>
        </is>
      </c>
      <c r="G12" s="141" t="n">
        <v>37209</v>
      </c>
      <c r="H12" s="32" t="n">
        <v>0.1670272745228305</v>
      </c>
      <c r="I12" s="33" t="inlineStr">
        <is>
          <t>VIRIDIANA</t>
        </is>
      </c>
      <c r="J12" s="141" t="n">
        <v>34958</v>
      </c>
      <c r="K12" s="32" t="n">
        <v>0.1569227730594509</v>
      </c>
      <c r="L12" s="33" t="inlineStr">
        <is>
          <t>EDGAR</t>
        </is>
      </c>
      <c r="M12" s="141" t="n">
        <v>34502</v>
      </c>
      <c r="N12" s="19" t="n">
        <v>0.1548758371788196</v>
      </c>
      <c r="O12" s="33" t="inlineStr">
        <is>
          <t>JORGE</t>
        </is>
      </c>
      <c r="P12" s="141" t="n">
        <v>32870</v>
      </c>
      <c r="Q12" s="32" t="n">
        <v>0.1475499613955075</v>
      </c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>
        <v>172341</v>
      </c>
      <c r="C13" s="33" t="inlineStr">
        <is>
          <t>FRANCISCO</t>
        </is>
      </c>
      <c r="D13" s="141" t="n">
        <v>39214</v>
      </c>
      <c r="E13" s="32" t="n">
        <v>0.2275372662338039</v>
      </c>
      <c r="F13" s="33" t="inlineStr">
        <is>
          <t>JORGE</t>
        </is>
      </c>
      <c r="G13" s="141" t="n">
        <v>36849</v>
      </c>
      <c r="H13" s="32" t="n">
        <v>0.213814472470277</v>
      </c>
      <c r="I13" s="33" t="inlineStr">
        <is>
          <t>EDGAR</t>
        </is>
      </c>
      <c r="J13" s="141" t="n">
        <v>27954</v>
      </c>
      <c r="K13" s="32" t="n">
        <v>0.1622016815499504</v>
      </c>
      <c r="L13" s="33" t="inlineStr">
        <is>
          <t>V39</t>
        </is>
      </c>
      <c r="M13" s="141" t="n">
        <v>19234</v>
      </c>
      <c r="N13" s="19" t="n">
        <v>0.1116043193436269</v>
      </c>
      <c r="O13" s="33" t="inlineStr">
        <is>
          <t>DEPOSITO</t>
        </is>
      </c>
      <c r="P13" s="141" t="n">
        <v>15714</v>
      </c>
      <c r="Q13" s="32" t="n">
        <v>0.09117969606767977</v>
      </c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>
        <v>147663</v>
      </c>
      <c r="C14" s="33" t="inlineStr">
        <is>
          <t>DEPOSITO</t>
        </is>
      </c>
      <c r="D14" s="141" t="n">
        <v>25471</v>
      </c>
      <c r="E14" s="32" t="n">
        <v>0.172494</v>
      </c>
      <c r="F14" s="33" t="inlineStr">
        <is>
          <t>FRANCISCO</t>
        </is>
      </c>
      <c r="G14" s="141" t="n">
        <v>24455</v>
      </c>
      <c r="H14" s="32" t="n">
        <v>0.165614</v>
      </c>
      <c r="I14" s="33" t="inlineStr">
        <is>
          <t>EDGAR</t>
        </is>
      </c>
      <c r="J14" s="141" t="n">
        <v>20525</v>
      </c>
      <c r="K14" s="32" t="n">
        <v>0.138999</v>
      </c>
      <c r="L14" s="33" t="inlineStr">
        <is>
          <t>V39</t>
        </is>
      </c>
      <c r="M14" s="141" t="n">
        <v>20307</v>
      </c>
      <c r="N14" s="19" t="n">
        <v>0.137523</v>
      </c>
      <c r="O14" s="33" t="inlineStr">
        <is>
          <t>JORGE</t>
        </is>
      </c>
      <c r="P14" s="141" t="n">
        <v>12011</v>
      </c>
      <c r="Q14" s="32" t="n">
        <v>0.081341</v>
      </c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>
        <v>66340</v>
      </c>
      <c r="C15" s="34" t="inlineStr">
        <is>
          <t>DEPOSITO</t>
        </is>
      </c>
      <c r="D15" s="150" t="n">
        <v>16964</v>
      </c>
      <c r="E15" s="35" t="n">
        <v>0.255713</v>
      </c>
      <c r="F15" s="34" t="inlineStr">
        <is>
          <t>V39</t>
        </is>
      </c>
      <c r="G15" s="150" t="n">
        <v>10669</v>
      </c>
      <c r="H15" s="35" t="n">
        <v>0.160823</v>
      </c>
      <c r="I15" s="34" t="inlineStr">
        <is>
          <t>FRANCISCO</t>
        </is>
      </c>
      <c r="J15" s="150" t="n">
        <v>9716</v>
      </c>
      <c r="K15" s="35" t="n">
        <v>0.146458</v>
      </c>
      <c r="L15" s="34" t="inlineStr">
        <is>
          <t>EDGAR</t>
        </is>
      </c>
      <c r="M15" s="150" t="n">
        <v>9712</v>
      </c>
      <c r="N15" s="37" t="n">
        <v>0.146397</v>
      </c>
      <c r="O15" s="34" t="inlineStr">
        <is>
          <t>JORGE</t>
        </is>
      </c>
      <c r="P15" s="150" t="n">
        <v>6152</v>
      </c>
      <c r="Q15" s="35" t="n">
        <v>0.092734</v>
      </c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N11" sqref="N11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8.85546875" customWidth="1" min="3" max="3"/>
    <col width="18.7109375" bestFit="1" customWidth="1" style="118" min="4" max="4"/>
    <col width="15.7109375" customWidth="1" style="53" min="5" max="5"/>
    <col width="19.42578125" customWidth="1" min="6" max="6"/>
    <col width="19.5703125" customWidth="1" style="118" min="7" max="7"/>
    <col width="15.7109375" customWidth="1" style="53" min="8" max="8"/>
    <col width="19.5703125" customWidth="1" min="9" max="9"/>
    <col width="20.85546875" customWidth="1" style="118" min="10" max="10"/>
    <col width="15.7109375" customWidth="1" style="53" min="11" max="11"/>
    <col width="21.140625" customWidth="1" min="12" max="12"/>
    <col width="20" customWidth="1" style="118" min="13" max="13"/>
    <col width="15.7109375" customWidth="1" style="53" min="14" max="14"/>
    <col width="20.42578125" customWidth="1" min="15" max="15"/>
    <col width="20.7109375" customWidth="1" style="118" min="16" max="16"/>
    <col width="15.710937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23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930171.3100000001</v>
      </c>
      <c r="C5" s="31" t="inlineStr">
        <is>
          <t>JORGE</t>
        </is>
      </c>
      <c r="D5" s="141" t="n">
        <v>144950.5</v>
      </c>
      <c r="E5" s="32" t="n">
        <v>0.16</v>
      </c>
      <c r="F5" s="162" t="inlineStr">
        <is>
          <t>TRANSFER. / DEPTOS.</t>
        </is>
      </c>
      <c r="G5" s="141" t="n">
        <v>192172.57</v>
      </c>
      <c r="H5" s="32" t="n">
        <v>0.21</v>
      </c>
      <c r="I5" s="163" t="inlineStr">
        <is>
          <t>FRANCISCO</t>
        </is>
      </c>
      <c r="J5" s="141" t="n">
        <v>119145</v>
      </c>
      <c r="K5" s="32" t="n">
        <v>0.13</v>
      </c>
      <c r="L5" s="161" t="inlineStr">
        <is>
          <t>EDGAR</t>
        </is>
      </c>
      <c r="M5" s="141" t="n">
        <v>119050</v>
      </c>
      <c r="N5" s="32" t="n">
        <v>0.13</v>
      </c>
      <c r="O5" s="46" t="inlineStr">
        <is>
          <t>HUMBERTO</t>
        </is>
      </c>
      <c r="P5" s="142" t="n">
        <v>61834</v>
      </c>
      <c r="Q5" s="32" t="n">
        <v>0.07000000000000001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929769.84</v>
      </c>
      <c r="C6" s="162" t="inlineStr">
        <is>
          <t>TRANSFER. / DEPTOS.</t>
        </is>
      </c>
      <c r="D6" s="141" t="n">
        <v>177382.78</v>
      </c>
      <c r="E6" s="32" t="n">
        <v>0.0019</v>
      </c>
      <c r="F6" s="31" t="inlineStr">
        <is>
          <t>JORGE</t>
        </is>
      </c>
      <c r="G6" s="141" t="n">
        <v>153965</v>
      </c>
      <c r="H6" s="32" t="n">
        <v>0.17</v>
      </c>
      <c r="I6" s="161" t="inlineStr">
        <is>
          <t>EDGAR</t>
        </is>
      </c>
      <c r="J6" s="141" t="n">
        <v>104009</v>
      </c>
      <c r="K6" s="32" t="n">
        <v>0.11</v>
      </c>
      <c r="L6" s="163" t="inlineStr">
        <is>
          <t>FRANCISCO</t>
        </is>
      </c>
      <c r="M6" s="141" t="n">
        <v>100560</v>
      </c>
      <c r="N6" s="32" t="n">
        <v>0.11</v>
      </c>
      <c r="O6" s="46" t="inlineStr">
        <is>
          <t>HUMBERTO</t>
        </is>
      </c>
      <c r="P6" s="142" t="n">
        <v>63028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897511.0399999999</v>
      </c>
      <c r="C7" s="31" t="inlineStr">
        <is>
          <t>JORGE</t>
        </is>
      </c>
      <c r="D7" s="141" t="n">
        <v>168909</v>
      </c>
      <c r="E7" s="32" t="n">
        <v>0.1881971279149948</v>
      </c>
      <c r="F7" s="162" t="inlineStr">
        <is>
          <t>TRANSFER. / DEPTOS.</t>
        </is>
      </c>
      <c r="G7" s="141" t="n">
        <v>115622.14</v>
      </c>
      <c r="H7" s="32" t="n">
        <v>0.1288253122769387</v>
      </c>
      <c r="I7" s="161" t="inlineStr">
        <is>
          <t>EDGAR</t>
        </is>
      </c>
      <c r="J7" s="141" t="n">
        <v>111767</v>
      </c>
      <c r="K7" s="32" t="n">
        <v>0.1245299445007384</v>
      </c>
      <c r="L7" s="46" t="inlineStr">
        <is>
          <t>HUMBERTO</t>
        </is>
      </c>
      <c r="M7" s="141" t="n">
        <v>104004</v>
      </c>
      <c r="N7" s="32" t="n">
        <v>0.1158804687238165</v>
      </c>
      <c r="O7" s="163" t="inlineStr">
        <is>
          <t>FRANCISCO</t>
        </is>
      </c>
      <c r="P7" s="142" t="n">
        <v>98607</v>
      </c>
      <c r="Q7" s="32" t="n">
        <v>0.1098671722188509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908975</v>
      </c>
      <c r="C8" s="33" t="inlineStr">
        <is>
          <t>JORGE</t>
        </is>
      </c>
      <c r="D8" s="141" t="n">
        <v>144741</v>
      </c>
      <c r="E8" s="32" t="n">
        <v>0.1592354025138205</v>
      </c>
      <c r="F8" s="33" t="inlineStr">
        <is>
          <t>TRANSFER. / DEPTOS.</t>
        </is>
      </c>
      <c r="G8" s="141" t="n">
        <v>142066</v>
      </c>
      <c r="H8" s="32" t="n">
        <v>0.1562925272972304</v>
      </c>
      <c r="I8" s="33" t="inlineStr">
        <is>
          <t>EDGAR</t>
        </is>
      </c>
      <c r="J8" s="141" t="n">
        <v>123847</v>
      </c>
      <c r="K8" s="32" t="n">
        <v>0.136249071756649</v>
      </c>
      <c r="L8" s="33" t="inlineStr">
        <is>
          <t>HUMBERTO</t>
        </is>
      </c>
      <c r="M8" s="141" t="n">
        <v>101173</v>
      </c>
      <c r="N8" s="32" t="n">
        <v>0.1113044913226436</v>
      </c>
      <c r="O8" s="33" t="inlineStr">
        <is>
          <t>FRANCISCO</t>
        </is>
      </c>
      <c r="P8" s="142" t="n">
        <v>96282</v>
      </c>
      <c r="Q8" s="32" t="n">
        <v>0.1059237052724222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972094</v>
      </c>
      <c r="C9" s="33" t="inlineStr">
        <is>
          <t>EDGAR</t>
        </is>
      </c>
      <c r="D9" s="141" t="n">
        <v>151815</v>
      </c>
      <c r="E9" s="32" t="n">
        <v>0.1561731684384432</v>
      </c>
      <c r="F9" s="33" t="inlineStr">
        <is>
          <t>TRANSFER. / DEPTOS.</t>
        </is>
      </c>
      <c r="G9" s="141" t="n">
        <v>145147</v>
      </c>
      <c r="H9" s="32" t="n">
        <v>0.1493137494933618</v>
      </c>
      <c r="I9" s="33" t="inlineStr">
        <is>
          <t>JORGE</t>
        </is>
      </c>
      <c r="J9" s="141" t="n">
        <v>135678</v>
      </c>
      <c r="K9" s="32" t="n">
        <v>0.1395729219602219</v>
      </c>
      <c r="L9" s="33" t="inlineStr">
        <is>
          <t>FRANCISCO</t>
        </is>
      </c>
      <c r="M9" s="141" t="n">
        <v>93348</v>
      </c>
      <c r="N9" s="32" t="n">
        <v>0.09602775040273882</v>
      </c>
      <c r="O9" s="33" t="inlineStr">
        <is>
          <t>HUMBERTO</t>
        </is>
      </c>
      <c r="P9" s="142" t="n">
        <v>86508</v>
      </c>
      <c r="Q9" s="32" t="n">
        <v>0.08899139383639854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864294</v>
      </c>
      <c r="C10" s="33" t="inlineStr">
        <is>
          <t>EDGAR</t>
        </is>
      </c>
      <c r="D10" s="141" t="n">
        <v>123230</v>
      </c>
      <c r="E10" s="32" t="n">
        <v>0.1425787984181309</v>
      </c>
      <c r="F10" s="33" t="inlineStr">
        <is>
          <t>TRANSFER. / DEPTOS.</t>
        </is>
      </c>
      <c r="G10" s="141" t="n">
        <v>120381</v>
      </c>
      <c r="H10" s="32" t="n">
        <v>0.1392824663829669</v>
      </c>
      <c r="I10" s="33" t="inlineStr">
        <is>
          <t>JORGE</t>
        </is>
      </c>
      <c r="J10" s="141" t="n">
        <v>110040</v>
      </c>
      <c r="K10" s="32" t="n">
        <v>0.1273177876972419</v>
      </c>
      <c r="L10" s="33" t="inlineStr">
        <is>
          <t>FRANCISCO</t>
        </is>
      </c>
      <c r="M10" s="141" t="n">
        <v>107112</v>
      </c>
      <c r="N10" s="32" t="n">
        <v>0.1239300515796708</v>
      </c>
      <c r="O10" s="33" t="inlineStr">
        <is>
          <t>HUMBERTO</t>
        </is>
      </c>
      <c r="P10" s="142" t="n">
        <v>75035</v>
      </c>
      <c r="Q10" s="32" t="n">
        <v>0.08681652308126633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>
        <v>979889</v>
      </c>
      <c r="C11" s="33" t="inlineStr">
        <is>
          <t>EDGAR</t>
        </is>
      </c>
      <c r="D11" s="141" t="n">
        <v>171567</v>
      </c>
      <c r="E11" s="32" t="n">
        <v>0.1750881987653704</v>
      </c>
      <c r="F11" s="33" t="inlineStr">
        <is>
          <t>FRANCISCO</t>
        </is>
      </c>
      <c r="G11" s="141" t="n">
        <v>130696</v>
      </c>
      <c r="H11" s="32" t="n">
        <v>0.1333783724483079</v>
      </c>
      <c r="I11" s="33" t="inlineStr">
        <is>
          <t>JORGE</t>
        </is>
      </c>
      <c r="J11" s="141" t="n">
        <v>124366</v>
      </c>
      <c r="K11" s="32" t="n">
        <v>0.126918457090548</v>
      </c>
      <c r="L11" s="33" t="inlineStr">
        <is>
          <t>TRANSFER. / DEPTOS.</t>
        </is>
      </c>
      <c r="M11" s="141" t="n">
        <v>87944</v>
      </c>
      <c r="N11" s="32" t="n">
        <v>0.08974894095147512</v>
      </c>
      <c r="O11" s="33" t="inlineStr">
        <is>
          <t>V6</t>
        </is>
      </c>
      <c r="P11" s="142" t="n">
        <v>86903</v>
      </c>
      <c r="Q11" s="32" t="n">
        <v>0.08868657572439327</v>
      </c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>
        <v>974464</v>
      </c>
      <c r="C12" s="33" t="inlineStr">
        <is>
          <t>EDGAR</t>
        </is>
      </c>
      <c r="D12" s="141" t="n">
        <v>169940</v>
      </c>
      <c r="E12" s="32" t="n">
        <v>0.1743933075003284</v>
      </c>
      <c r="F12" s="33" t="inlineStr">
        <is>
          <t>FRANCISCO</t>
        </is>
      </c>
      <c r="G12" s="141" t="n">
        <v>157230</v>
      </c>
      <c r="H12" s="32" t="n">
        <v>0.161350239721529</v>
      </c>
      <c r="I12" s="33" t="inlineStr">
        <is>
          <t>JORGE</t>
        </is>
      </c>
      <c r="J12" s="141" t="n">
        <v>140173</v>
      </c>
      <c r="K12" s="32" t="n">
        <v>0.1438462580454486</v>
      </c>
      <c r="L12" s="33" t="inlineStr">
        <is>
          <t>V6</t>
        </is>
      </c>
      <c r="M12" s="141" t="n">
        <v>93647</v>
      </c>
      <c r="N12" s="32" t="n">
        <v>0.09610103605674504</v>
      </c>
      <c r="O12" s="33" t="inlineStr">
        <is>
          <t>TRANSFER. / DEPTOS.</t>
        </is>
      </c>
      <c r="P12" s="142" t="n">
        <v>89881</v>
      </c>
      <c r="Q12" s="32" t="n">
        <v>0.09223634736634703</v>
      </c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>
        <v>859150</v>
      </c>
      <c r="C13" s="33" t="inlineStr">
        <is>
          <t>EDGAR</t>
        </is>
      </c>
      <c r="D13" s="141" t="n">
        <v>170238</v>
      </c>
      <c r="E13" s="32" t="n">
        <v>0.1981470057615085</v>
      </c>
      <c r="F13" s="33" t="inlineStr">
        <is>
          <t>FRANCISCO</t>
        </is>
      </c>
      <c r="G13" s="141" t="n">
        <v>137575</v>
      </c>
      <c r="H13" s="32" t="n">
        <v>0.1601291974626084</v>
      </c>
      <c r="I13" s="33" t="inlineStr">
        <is>
          <t>JORGE</t>
        </is>
      </c>
      <c r="J13" s="141" t="n">
        <v>134196</v>
      </c>
      <c r="K13" s="32" t="n">
        <v>0.1561962404702322</v>
      </c>
      <c r="L13" s="33" t="inlineStr">
        <is>
          <t>OFICINA</t>
        </is>
      </c>
      <c r="M13" s="141" t="n">
        <v>108249</v>
      </c>
      <c r="N13" s="32" t="n">
        <v>0.1259954606296921</v>
      </c>
      <c r="O13" s="33" t="inlineStr">
        <is>
          <t>TRANSFER. / DEPTOS.</t>
        </is>
      </c>
      <c r="P13" s="142" t="n">
        <v>81160</v>
      </c>
      <c r="Q13" s="32" t="n">
        <v>0.09446546004772159</v>
      </c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>
        <v>854798</v>
      </c>
      <c r="C14" s="33" t="inlineStr">
        <is>
          <t>EDGAR</t>
        </is>
      </c>
      <c r="D14" s="141" t="n">
        <v>182799</v>
      </c>
      <c r="E14" s="32" t="n">
        <v>0.2138505237494706</v>
      </c>
      <c r="F14" s="33" t="inlineStr">
        <is>
          <t>JORGE</t>
        </is>
      </c>
      <c r="G14" s="141" t="n">
        <v>143635</v>
      </c>
      <c r="H14" s="32" t="n">
        <v>0.1680338512724644</v>
      </c>
      <c r="I14" s="33" t="inlineStr">
        <is>
          <t>FRANCISCO</t>
        </is>
      </c>
      <c r="J14" s="141" t="n">
        <v>127667</v>
      </c>
      <c r="K14" s="32" t="n">
        <v>0.149353414490909</v>
      </c>
      <c r="L14" s="33" t="inlineStr">
        <is>
          <t>OFICINA</t>
        </is>
      </c>
      <c r="M14" s="141" t="n">
        <v>82839</v>
      </c>
      <c r="N14" s="32" t="n">
        <v>0.09691061513948325</v>
      </c>
      <c r="O14" s="33" t="inlineStr">
        <is>
          <t>TRANSFER. / DEPTOS.</t>
        </is>
      </c>
      <c r="P14" s="142" t="n">
        <v>61696</v>
      </c>
      <c r="Q14" s="32" t="n">
        <v>0.07217611646260286</v>
      </c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>
        <v>1102741</v>
      </c>
      <c r="C15" s="33" t="inlineStr">
        <is>
          <t>EDGAR</t>
        </is>
      </c>
      <c r="D15" s="141" t="n">
        <v>204069</v>
      </c>
      <c r="E15" s="32" t="n">
        <v>0.185056</v>
      </c>
      <c r="F15" s="33" t="inlineStr">
        <is>
          <t>JORGE</t>
        </is>
      </c>
      <c r="G15" s="141" t="n">
        <v>148011</v>
      </c>
      <c r="H15" s="32" t="n">
        <v>0.134221</v>
      </c>
      <c r="I15" s="33" t="inlineStr">
        <is>
          <t>FRANCISCO</t>
        </is>
      </c>
      <c r="J15" s="141" t="n">
        <v>144755</v>
      </c>
      <c r="K15" s="32" t="n">
        <v>0.131268</v>
      </c>
      <c r="L15" s="33" t="inlineStr">
        <is>
          <t>OFICINA</t>
        </is>
      </c>
      <c r="M15" s="141" t="n">
        <v>132211</v>
      </c>
      <c r="N15" s="32" t="n">
        <v>0.119893</v>
      </c>
      <c r="O15" s="33" t="inlineStr">
        <is>
          <t>TRANSFER. / DEPTOS.</t>
        </is>
      </c>
      <c r="P15" s="142" t="n">
        <v>77676</v>
      </c>
      <c r="Q15" s="32" t="n">
        <v>0.070439</v>
      </c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>
        <v>946158</v>
      </c>
      <c r="C16" s="34" t="inlineStr">
        <is>
          <t>EDGAR</t>
        </is>
      </c>
      <c r="D16" s="150" t="n">
        <v>201165</v>
      </c>
      <c r="E16" s="35" t="n">
        <v>0.212612</v>
      </c>
      <c r="F16" s="34" t="inlineStr">
        <is>
          <t>FRANCISCO</t>
        </is>
      </c>
      <c r="G16" s="150" t="n">
        <v>136262</v>
      </c>
      <c r="H16" s="35" t="n">
        <v>0.144016</v>
      </c>
      <c r="I16" s="34" t="inlineStr">
        <is>
          <t>JORGE</t>
        </is>
      </c>
      <c r="J16" s="150" t="n">
        <v>133701</v>
      </c>
      <c r="K16" s="35" t="n">
        <v>0.141309</v>
      </c>
      <c r="L16" s="34" t="inlineStr">
        <is>
          <t>TRANSFER. / DEPTOS.</t>
        </is>
      </c>
      <c r="M16" s="150" t="n">
        <v>131662</v>
      </c>
      <c r="N16" s="35" t="n">
        <v>0.139154</v>
      </c>
      <c r="O16" s="34" t="inlineStr">
        <is>
          <t>V38</t>
        </is>
      </c>
      <c r="P16" s="151" t="n">
        <v>54696</v>
      </c>
      <c r="Q16" s="35" t="n">
        <v>0.057809</v>
      </c>
      <c r="S16" s="148" t="inlineStr">
        <is>
          <t>V37 EDGARDO</t>
        </is>
      </c>
    </row>
    <row r="17">
      <c r="S17" s="6" t="inlineStr">
        <is>
          <t>V38 LAURA</t>
        </is>
      </c>
    </row>
    <row r="18" ht="22.5" customHeight="1">
      <c r="S18" s="5" t="inlineStr">
        <is>
          <t>V39 JOSE C.</t>
        </is>
      </c>
    </row>
    <row r="19" ht="23.25" customHeight="1">
      <c r="S19" s="26" t="inlineStr">
        <is>
          <t>V55 GEOVANNI</t>
        </is>
      </c>
    </row>
    <row r="20" ht="18" customHeight="1">
      <c r="S20" s="9" t="inlineStr">
        <is>
          <t>V56 SAUL</t>
        </is>
      </c>
    </row>
    <row r="21" ht="24.75" customHeight="1">
      <c r="S21" s="152" t="inlineStr">
        <is>
          <t>V6 GABY</t>
        </is>
      </c>
    </row>
    <row r="22" ht="19.5" customHeight="1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N13" sqref="N13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21.42578125" bestFit="1" customWidth="1" min="3" max="3"/>
    <col width="15.7109375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0.85546875" customWidth="1" min="9" max="9"/>
    <col width="20.8554687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7.2851562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 5</t>
        </is>
      </c>
    </row>
    <row r="5" ht="23.25" customFormat="1" customHeight="1" s="4">
      <c r="A5" s="40" t="inlineStr">
        <is>
          <t>ENERO</t>
        </is>
      </c>
      <c r="B5" s="157" t="n">
        <v>130037.5</v>
      </c>
      <c r="C5" s="162" t="inlineStr">
        <is>
          <t>TRANSFER. / DEPTOS.</t>
        </is>
      </c>
      <c r="D5" s="141" t="n">
        <v>29917.5</v>
      </c>
      <c r="E5" s="32" t="n">
        <v>0.23</v>
      </c>
      <c r="F5" s="31" t="inlineStr">
        <is>
          <t>JORGE</t>
        </is>
      </c>
      <c r="G5" s="141" t="n">
        <v>20771</v>
      </c>
      <c r="H5" s="32" t="n">
        <v>0.16</v>
      </c>
      <c r="I5" s="163" t="inlineStr">
        <is>
          <t>FRANCISCO</t>
        </is>
      </c>
      <c r="J5" s="141" t="n">
        <v>18420</v>
      </c>
      <c r="K5" s="32" t="n">
        <v>0.14</v>
      </c>
      <c r="L5" s="46" t="inlineStr">
        <is>
          <t>HUMBERTO</t>
        </is>
      </c>
      <c r="M5" s="141" t="n">
        <v>15755</v>
      </c>
      <c r="N5" s="32" t="n">
        <v>0.12</v>
      </c>
      <c r="O5" s="47" t="inlineStr">
        <is>
          <t>SR.PAGO</t>
        </is>
      </c>
      <c r="P5" s="142" t="n">
        <v>14069</v>
      </c>
      <c r="Q5" s="32" t="n">
        <v>0.11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109031</v>
      </c>
      <c r="C6" s="31" t="inlineStr">
        <is>
          <t>JORGE</t>
        </is>
      </c>
      <c r="D6" s="141" t="n">
        <v>37887</v>
      </c>
      <c r="E6" s="32" t="n">
        <v>0.35</v>
      </c>
      <c r="F6" s="162" t="inlineStr">
        <is>
          <t>TRANSFER. / DEPTOS.</t>
        </is>
      </c>
      <c r="G6" s="141" t="n">
        <v>25725</v>
      </c>
      <c r="H6" s="32" t="n">
        <v>0.0023</v>
      </c>
      <c r="I6" s="5" t="inlineStr">
        <is>
          <t>V39 JOSE C.</t>
        </is>
      </c>
      <c r="J6" s="141" t="n">
        <v>9276</v>
      </c>
      <c r="K6" s="32" t="n">
        <v>0.09</v>
      </c>
      <c r="L6" s="163" t="inlineStr">
        <is>
          <t>FRANCISCO</t>
        </is>
      </c>
      <c r="M6" s="141" t="n">
        <v>9072</v>
      </c>
      <c r="N6" s="32" t="n">
        <v>0.08</v>
      </c>
      <c r="O6" s="139" t="inlineStr">
        <is>
          <t>EDGAR</t>
        </is>
      </c>
      <c r="P6" s="142" t="n">
        <v>7958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80578</v>
      </c>
      <c r="C7" s="31" t="inlineStr">
        <is>
          <t>JORGE</t>
        </is>
      </c>
      <c r="D7" s="141" t="n">
        <v>19454</v>
      </c>
      <c r="E7" s="32" t="n">
        <v>0.2414306634565266</v>
      </c>
      <c r="F7" s="163" t="inlineStr">
        <is>
          <t>FRANCISCO</t>
        </is>
      </c>
      <c r="G7" s="141" t="n">
        <v>14520</v>
      </c>
      <c r="H7" s="32" t="n">
        <v>0.1801980689518231</v>
      </c>
      <c r="I7" s="139" t="inlineStr">
        <is>
          <t>EDGAR</t>
        </is>
      </c>
      <c r="J7" s="141" t="n">
        <v>10532</v>
      </c>
      <c r="K7" s="32" t="n">
        <v>0.130705651666708</v>
      </c>
      <c r="L7" s="5" t="inlineStr">
        <is>
          <t>V39 JOSE C.</t>
        </is>
      </c>
      <c r="M7" s="141" t="n">
        <v>10013</v>
      </c>
      <c r="N7" s="32" t="n">
        <v>0.1242646876318598</v>
      </c>
      <c r="O7" s="18" t="inlineStr">
        <is>
          <t>HUMBERTO</t>
        </is>
      </c>
      <c r="P7" s="142" t="n">
        <v>8586</v>
      </c>
      <c r="Q7" s="32" t="n">
        <v>0.106555139119859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120007</v>
      </c>
      <c r="C8" s="33" t="inlineStr">
        <is>
          <t>JORGE</t>
        </is>
      </c>
      <c r="D8" s="141" t="n">
        <v>28281</v>
      </c>
      <c r="E8" s="32" t="n">
        <v>0.2356612530935695</v>
      </c>
      <c r="F8" s="33" t="inlineStr">
        <is>
          <t>HUMBERTO</t>
        </is>
      </c>
      <c r="G8" s="141" t="n">
        <v>21761</v>
      </c>
      <c r="H8" s="32" t="n">
        <v>0.1813310890198072</v>
      </c>
      <c r="I8" s="33" t="inlineStr">
        <is>
          <t>FRANCISCO</t>
        </is>
      </c>
      <c r="J8" s="141" t="n">
        <v>19701</v>
      </c>
      <c r="K8" s="32" t="n">
        <v>0.1641654236836184</v>
      </c>
      <c r="L8" s="33" t="inlineStr">
        <is>
          <t>EDGAR</t>
        </is>
      </c>
      <c r="M8" s="141" t="n">
        <v>12511</v>
      </c>
      <c r="N8" s="32" t="n">
        <v>0.1042522519519695</v>
      </c>
      <c r="O8" s="33" t="inlineStr">
        <is>
          <t>OFICINA</t>
        </is>
      </c>
      <c r="P8" s="142" t="n">
        <v>12210</v>
      </c>
      <c r="Q8" s="32" t="n">
        <v>0.1017440649295458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97496</v>
      </c>
      <c r="C9" s="33" t="inlineStr">
        <is>
          <t>JORGE</t>
        </is>
      </c>
      <c r="D9" s="141" t="n">
        <v>21711</v>
      </c>
      <c r="E9" s="32" t="n">
        <v>0.2226860589152375</v>
      </c>
      <c r="F9" s="33" t="inlineStr">
        <is>
          <t>V39</t>
        </is>
      </c>
      <c r="G9" s="141" t="n">
        <v>19108</v>
      </c>
      <c r="H9" s="32" t="n">
        <v>0.1959875276934438</v>
      </c>
      <c r="I9" s="33" t="inlineStr">
        <is>
          <t>TRANSFER. / DEPTOS.</t>
        </is>
      </c>
      <c r="J9" s="141" t="n">
        <v>13792</v>
      </c>
      <c r="K9" s="32" t="n">
        <v>0.1414622138344137</v>
      </c>
      <c r="L9" s="33" t="inlineStr">
        <is>
          <t>EDGAR</t>
        </is>
      </c>
      <c r="M9" s="141" t="n">
        <v>11329</v>
      </c>
      <c r="N9" s="32" t="n">
        <v>0.1161996389595471</v>
      </c>
      <c r="O9" s="33" t="inlineStr">
        <is>
          <t>FRANCISCO</t>
        </is>
      </c>
      <c r="P9" s="142" t="n">
        <v>10460</v>
      </c>
      <c r="Q9" s="32" t="n">
        <v>0.1072864527775498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93207</v>
      </c>
      <c r="C10" s="33" t="inlineStr">
        <is>
          <t>JORGE</t>
        </is>
      </c>
      <c r="D10" s="141" t="n">
        <v>22288</v>
      </c>
      <c r="E10" s="32" t="n">
        <v>0.2391236709689187</v>
      </c>
      <c r="F10" s="33" t="inlineStr">
        <is>
          <t>EDGAR</t>
        </is>
      </c>
      <c r="G10" s="141" t="n">
        <v>13690</v>
      </c>
      <c r="H10" s="32" t="n">
        <v>0.1468773804542577</v>
      </c>
      <c r="I10" s="33" t="inlineStr">
        <is>
          <t>HUMBERTO</t>
        </is>
      </c>
      <c r="J10" s="141" t="n">
        <v>12864</v>
      </c>
      <c r="K10" s="32" t="n">
        <v>0.1380153851105604</v>
      </c>
      <c r="L10" s="33" t="inlineStr">
        <is>
          <t>FRANCISCO</t>
        </is>
      </c>
      <c r="M10" s="141" t="n">
        <v>11727</v>
      </c>
      <c r="N10" s="32" t="n">
        <v>0.1258167305030738</v>
      </c>
      <c r="O10" s="33" t="inlineStr">
        <is>
          <t>V39</t>
        </is>
      </c>
      <c r="P10" s="142" t="n">
        <v>10179</v>
      </c>
      <c r="Q10" s="32" t="n">
        <v>0.1092085358395829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>
        <v>120465</v>
      </c>
      <c r="C11" s="33" t="inlineStr">
        <is>
          <t>JORGE</t>
        </is>
      </c>
      <c r="D11" s="141" t="n">
        <v>25385</v>
      </c>
      <c r="E11" s="32" t="n">
        <v>0.2107251068775163</v>
      </c>
      <c r="F11" s="33" t="inlineStr">
        <is>
          <t>HUMBERTO</t>
        </is>
      </c>
      <c r="G11" s="141" t="n">
        <v>21579</v>
      </c>
      <c r="H11" s="32" t="n">
        <v>0.1791308678869381</v>
      </c>
      <c r="I11" s="33" t="inlineStr">
        <is>
          <t>EDGAR</t>
        </is>
      </c>
      <c r="J11" s="141" t="n">
        <v>16982</v>
      </c>
      <c r="K11" s="32" t="n">
        <v>0.1409704063420911</v>
      </c>
      <c r="L11" s="33" t="inlineStr">
        <is>
          <t>TRANSFER. / DEPTOS.</t>
        </is>
      </c>
      <c r="M11" s="141" t="n">
        <v>16913</v>
      </c>
      <c r="N11" s="32" t="n">
        <v>0.1403976258664342</v>
      </c>
      <c r="O11" s="33" t="inlineStr">
        <is>
          <t>FRANCISCO</t>
        </is>
      </c>
      <c r="P11" s="142" t="n">
        <v>10925</v>
      </c>
      <c r="Q11" s="32" t="n">
        <v>0.09069024197899805</v>
      </c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>
        <v>62159</v>
      </c>
      <c r="C12" s="33" t="inlineStr">
        <is>
          <t>JORGE</t>
        </is>
      </c>
      <c r="D12" s="141" t="n">
        <v>12485</v>
      </c>
      <c r="E12" s="32" t="n">
        <v>0.2008558696246722</v>
      </c>
      <c r="F12" s="33" t="inlineStr">
        <is>
          <t>V39</t>
        </is>
      </c>
      <c r="G12" s="141" t="n">
        <v>9625</v>
      </c>
      <c r="H12" s="32" t="n">
        <v>0.1548448334110909</v>
      </c>
      <c r="I12" s="33" t="inlineStr">
        <is>
          <t>HUMBERTO</t>
        </is>
      </c>
      <c r="J12" s="141" t="n">
        <v>9566</v>
      </c>
      <c r="K12" s="32" t="n">
        <v>0.1538956546919996</v>
      </c>
      <c r="L12" s="33" t="inlineStr">
        <is>
          <t>FRANCISCO</t>
        </is>
      </c>
      <c r="M12" s="141" t="n">
        <v>8589</v>
      </c>
      <c r="N12" s="32" t="n">
        <v>0.1381778986148426</v>
      </c>
      <c r="O12" s="33" t="inlineStr">
        <is>
          <t>EDGAR</t>
        </is>
      </c>
      <c r="P12" s="142" t="n">
        <v>7492</v>
      </c>
      <c r="Q12" s="32" t="n">
        <v>0.1205296095497032</v>
      </c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>
        <v>69761</v>
      </c>
      <c r="C13" s="33" t="inlineStr">
        <is>
          <t>OFICINA</t>
        </is>
      </c>
      <c r="D13" s="141" t="n">
        <v>14077</v>
      </c>
      <c r="E13" s="32" t="n">
        <v>0.2017889651811184</v>
      </c>
      <c r="F13" s="33" t="inlineStr">
        <is>
          <t>JORGE</t>
        </is>
      </c>
      <c r="G13" s="141" t="n">
        <v>13555</v>
      </c>
      <c r="H13" s="32" t="n">
        <v>0.1943062742793251</v>
      </c>
      <c r="I13" s="33" t="inlineStr">
        <is>
          <t>FRANCISCO</t>
        </is>
      </c>
      <c r="J13" s="141" t="n">
        <v>10334</v>
      </c>
      <c r="K13" s="32" t="n">
        <v>0.1481343444044667</v>
      </c>
      <c r="L13" s="33" t="inlineStr">
        <is>
          <t>EDGAR</t>
        </is>
      </c>
      <c r="M13" s="141" t="n">
        <v>9961</v>
      </c>
      <c r="N13" s="32" t="n">
        <v>0.1427875173807715</v>
      </c>
      <c r="O13" s="33" t="inlineStr">
        <is>
          <t>TRANSFER. / DEPTOS.</t>
        </is>
      </c>
      <c r="P13" s="142" t="n">
        <v>7016</v>
      </c>
      <c r="Q13" s="32" t="n">
        <v>0.1005719528103095</v>
      </c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>
        <v>99696</v>
      </c>
      <c r="C14" s="33" t="inlineStr">
        <is>
          <t>FRANCISCO</t>
        </is>
      </c>
      <c r="D14" s="141" t="n">
        <v>22389</v>
      </c>
      <c r="E14" s="32" t="n">
        <v>0.2245727010110737</v>
      </c>
      <c r="F14" s="33" t="inlineStr">
        <is>
          <t>JORGE</t>
        </is>
      </c>
      <c r="G14" s="141" t="n">
        <v>17764</v>
      </c>
      <c r="H14" s="32" t="n">
        <v>0.1781816722837426</v>
      </c>
      <c r="I14" s="33" t="inlineStr">
        <is>
          <t>VIRIDIANA</t>
        </is>
      </c>
      <c r="J14" s="141" t="n">
        <v>17145</v>
      </c>
      <c r="K14" s="32" t="n">
        <v>0.1719727973038036</v>
      </c>
      <c r="L14" s="33" t="inlineStr">
        <is>
          <t>EDGAR</t>
        </is>
      </c>
      <c r="M14" s="141" t="n">
        <v>15186</v>
      </c>
      <c r="N14" s="32" t="n">
        <v>0.1523230621088108</v>
      </c>
      <c r="O14" s="33" t="inlineStr">
        <is>
          <t>V39</t>
        </is>
      </c>
      <c r="P14" s="142" t="n">
        <v>12983</v>
      </c>
      <c r="Q14" s="32" t="n">
        <v>0.1302258866955545</v>
      </c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>
        <v>96539</v>
      </c>
      <c r="C15" s="33" t="inlineStr">
        <is>
          <t>JORGE</t>
        </is>
      </c>
      <c r="D15" s="141" t="n">
        <v>29725</v>
      </c>
      <c r="E15" s="32" t="n">
        <v>0.307907</v>
      </c>
      <c r="F15" s="33" t="inlineStr">
        <is>
          <t>FRANCISCO</t>
        </is>
      </c>
      <c r="G15" s="141" t="n">
        <v>20691</v>
      </c>
      <c r="H15" s="32" t="n">
        <v>0.214328</v>
      </c>
      <c r="I15" s="33" t="inlineStr">
        <is>
          <t>EDGAR</t>
        </is>
      </c>
      <c r="J15" s="141" t="n">
        <v>11435</v>
      </c>
      <c r="K15" s="32" t="n">
        <v>0.11845</v>
      </c>
      <c r="L15" s="33" t="inlineStr">
        <is>
          <t>V39</t>
        </is>
      </c>
      <c r="M15" s="141" t="n">
        <v>7123</v>
      </c>
      <c r="N15" s="32" t="n">
        <v>0.073784</v>
      </c>
      <c r="O15" s="33" t="inlineStr">
        <is>
          <t>VIRIDIANA</t>
        </is>
      </c>
      <c r="P15" s="142" t="n">
        <v>6594</v>
      </c>
      <c r="Q15" s="32" t="n">
        <v>0.068304</v>
      </c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>
        <v>99193</v>
      </c>
      <c r="C16" s="34" t="inlineStr">
        <is>
          <t>FRANCISCO</t>
        </is>
      </c>
      <c r="D16" s="150" t="n">
        <v>17674</v>
      </c>
      <c r="E16" s="35" t="n">
        <v>0.178178</v>
      </c>
      <c r="F16" s="34" t="inlineStr">
        <is>
          <t>EDGAR</t>
        </is>
      </c>
      <c r="G16" s="150" t="n">
        <v>17094</v>
      </c>
      <c r="H16" s="35" t="n">
        <v>0.172331</v>
      </c>
      <c r="I16" s="34" t="inlineStr">
        <is>
          <t>JORGE</t>
        </is>
      </c>
      <c r="J16" s="150" t="n">
        <v>15311</v>
      </c>
      <c r="K16" s="35" t="n">
        <v>0.154356</v>
      </c>
      <c r="L16" s="34" t="inlineStr">
        <is>
          <t>EDUARDO</t>
        </is>
      </c>
      <c r="M16" s="150" t="n">
        <v>10448</v>
      </c>
      <c r="N16" s="35" t="n">
        <v>0.10533</v>
      </c>
      <c r="O16" s="34" t="inlineStr">
        <is>
          <t>V1</t>
        </is>
      </c>
      <c r="P16" s="151" t="n">
        <v>8697</v>
      </c>
      <c r="Q16" s="35" t="n">
        <v>0.08767800000000001</v>
      </c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G12" sqref="G12"/>
    </sheetView>
  </sheetViews>
  <sheetFormatPr baseColWidth="10" defaultRowHeight="18.75"/>
  <cols>
    <col width="19.42578125" bestFit="1" customWidth="1" min="1" max="1"/>
    <col width="19.5703125" bestFit="1" customWidth="1" style="160" min="2" max="2"/>
    <col width="21.42578125" bestFit="1" customWidth="1" min="3" max="3"/>
    <col width="18.7109375" bestFit="1" customWidth="1" style="118" min="4" max="4"/>
    <col width="15.7109375" customWidth="1" style="53" min="5" max="5"/>
    <col width="21" customWidth="1" min="6" max="6"/>
    <col width="20.140625" bestFit="1" customWidth="1" style="118" min="7" max="7"/>
    <col width="15.7109375" customWidth="1" style="53" min="8" max="8"/>
    <col width="20.140625" bestFit="1" customWidth="1" min="9" max="9"/>
    <col width="17.14062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1125155.81</v>
      </c>
      <c r="C5" s="162" t="inlineStr">
        <is>
          <t>TRANSFER. / DEPTOS.</t>
        </is>
      </c>
      <c r="D5" s="141" t="n">
        <v>238993.07</v>
      </c>
      <c r="E5" s="32" t="n">
        <v>0.22</v>
      </c>
      <c r="F5" s="31" t="inlineStr">
        <is>
          <t>JORGE</t>
        </is>
      </c>
      <c r="G5" s="141" t="n">
        <v>171221.5</v>
      </c>
      <c r="H5" s="32" t="n">
        <v>0.15</v>
      </c>
      <c r="I5" s="163" t="inlineStr">
        <is>
          <t>FRANCISCO</t>
        </is>
      </c>
      <c r="J5" s="141" t="n">
        <v>138787</v>
      </c>
      <c r="K5" s="32" t="n">
        <v>0.12</v>
      </c>
      <c r="L5" s="161" t="inlineStr">
        <is>
          <t>EDGAR</t>
        </is>
      </c>
      <c r="M5" s="141" t="n">
        <v>132850</v>
      </c>
      <c r="N5" s="32" t="n">
        <v>0.12</v>
      </c>
      <c r="O5" s="46" t="inlineStr">
        <is>
          <t>HUMBERTO</t>
        </is>
      </c>
      <c r="P5" s="142" t="n">
        <v>77589</v>
      </c>
      <c r="Q5" s="32" t="n">
        <v>0.07000000000000001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1106611.84</v>
      </c>
      <c r="C6" s="162" t="inlineStr">
        <is>
          <t>TRANSFER. / DEPTOS.</t>
        </is>
      </c>
      <c r="D6" s="141" t="n">
        <v>215461.78</v>
      </c>
      <c r="E6" s="32" t="n">
        <v>0.19</v>
      </c>
      <c r="F6" s="31" t="inlineStr">
        <is>
          <t>JORGE</t>
        </is>
      </c>
      <c r="G6" s="141" t="n">
        <v>195313</v>
      </c>
      <c r="H6" s="32" t="n">
        <v>0.18</v>
      </c>
      <c r="I6" s="161" t="inlineStr">
        <is>
          <t>EDGAR</t>
        </is>
      </c>
      <c r="J6" s="141" t="n">
        <v>115480</v>
      </c>
      <c r="K6" s="32" t="n">
        <v>0.1</v>
      </c>
      <c r="L6" s="163" t="inlineStr">
        <is>
          <t>FRANCISCO</t>
        </is>
      </c>
      <c r="M6" s="141" t="n">
        <v>111120</v>
      </c>
      <c r="N6" s="32" t="n">
        <v>0.1</v>
      </c>
      <c r="O6" s="46" t="inlineStr">
        <is>
          <t>HUMBERTO</t>
        </is>
      </c>
      <c r="P6" s="142" t="n">
        <v>74214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1024675.04</v>
      </c>
      <c r="C7" s="31" t="inlineStr">
        <is>
          <t>JORGE</t>
        </is>
      </c>
      <c r="D7" s="141" t="n">
        <v>194547</v>
      </c>
      <c r="E7" s="32" t="n">
        <v>0.1898621440022585</v>
      </c>
      <c r="F7" s="162" t="inlineStr">
        <is>
          <t>TRANSFER. / DEPTOS.</t>
        </is>
      </c>
      <c r="G7" s="141" t="n">
        <v>127094.14</v>
      </c>
      <c r="H7" s="32" t="n">
        <v>0.1240336058151665</v>
      </c>
      <c r="I7" s="161" t="inlineStr">
        <is>
          <t>EDGAR</t>
        </is>
      </c>
      <c r="J7" s="141" t="n">
        <v>126149</v>
      </c>
      <c r="K7" s="32" t="n">
        <v>0.1231112255842594</v>
      </c>
      <c r="L7" s="46" t="inlineStr">
        <is>
          <t>HUMBERTO</t>
        </is>
      </c>
      <c r="M7" s="141" t="n">
        <v>116895</v>
      </c>
      <c r="N7" s="32" t="n">
        <v>0.1140800697165416</v>
      </c>
      <c r="O7" s="163" t="inlineStr">
        <is>
          <t>FRANCISCO</t>
        </is>
      </c>
      <c r="P7" s="142" t="n">
        <v>114817</v>
      </c>
      <c r="Q7" s="32" t="n">
        <v>0.1120521097108016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1100659</v>
      </c>
      <c r="C8" s="33" t="inlineStr">
        <is>
          <t>JORGE</t>
        </is>
      </c>
      <c r="D8" s="141" t="n">
        <v>176654</v>
      </c>
      <c r="E8" s="32" t="n">
        <v>0.1604983923267788</v>
      </c>
      <c r="F8" s="33" t="inlineStr">
        <is>
          <t>TRANSFER. / DEPTOS.</t>
        </is>
      </c>
      <c r="G8" s="141" t="n">
        <v>153786</v>
      </c>
      <c r="H8" s="32" t="n">
        <v>0.1397217485161163</v>
      </c>
      <c r="I8" s="33" t="inlineStr">
        <is>
          <t>EDGAR</t>
        </is>
      </c>
      <c r="J8" s="141" t="n">
        <v>142907</v>
      </c>
      <c r="K8" s="32" t="n">
        <v>0.1298376699777133</v>
      </c>
      <c r="L8" s="33" t="inlineStr">
        <is>
          <t>HUMBERTO</t>
        </is>
      </c>
      <c r="M8" s="141" t="n">
        <v>126321</v>
      </c>
      <c r="N8" s="32" t="n">
        <v>0.1147685159527156</v>
      </c>
      <c r="O8" s="33" t="inlineStr">
        <is>
          <t>FRANCISCO</t>
        </is>
      </c>
      <c r="P8" s="142" t="n">
        <v>121074</v>
      </c>
      <c r="Q8" s="32" t="n">
        <v>0.1100013719053767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1161856</v>
      </c>
      <c r="C9" s="33" t="inlineStr">
        <is>
          <t>TRANSFER. / DEPTOS.</t>
        </is>
      </c>
      <c r="D9" s="141" t="n">
        <v>176089</v>
      </c>
      <c r="E9" s="32" t="n">
        <v>0.151558368679079</v>
      </c>
      <c r="F9" s="33" t="inlineStr">
        <is>
          <t>EDGAR</t>
        </is>
      </c>
      <c r="G9" s="141" t="n">
        <v>170457</v>
      </c>
      <c r="H9" s="32" t="n">
        <v>0.1467109521317616</v>
      </c>
      <c r="I9" s="33" t="inlineStr">
        <is>
          <t>JORGE</t>
        </is>
      </c>
      <c r="J9" s="141" t="n">
        <v>163615</v>
      </c>
      <c r="K9" s="32" t="n">
        <v>0.1408220984356065</v>
      </c>
      <c r="L9" s="33" t="inlineStr">
        <is>
          <t>FRANCISCO</t>
        </is>
      </c>
      <c r="M9" s="141" t="n">
        <v>110015</v>
      </c>
      <c r="N9" s="32" t="n">
        <v>0.09468901481767103</v>
      </c>
      <c r="O9" s="33" t="inlineStr">
        <is>
          <t>V39</t>
        </is>
      </c>
      <c r="P9" s="142" t="n">
        <v>106419</v>
      </c>
      <c r="Q9" s="32" t="n">
        <v>0.09159396689434836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>
        <v>968915</v>
      </c>
      <c r="C10" s="33" t="inlineStr">
        <is>
          <t>TRANSFER. / DEPTOS.</t>
        </is>
      </c>
      <c r="D10" s="141" t="n">
        <v>144002</v>
      </c>
      <c r="E10" s="32" t="n">
        <v>0.1486219121388357</v>
      </c>
      <c r="F10" s="33" t="inlineStr">
        <is>
          <t>EDGAR</t>
        </is>
      </c>
      <c r="G10" s="141" t="n">
        <v>143038</v>
      </c>
      <c r="H10" s="32" t="n">
        <v>0.1476269848232301</v>
      </c>
      <c r="I10" s="33" t="inlineStr">
        <is>
          <t>JORGE</t>
        </is>
      </c>
      <c r="J10" s="141" t="n">
        <v>139768</v>
      </c>
      <c r="K10" s="32" t="n">
        <v>0.1442520757754808</v>
      </c>
      <c r="L10" s="33" t="inlineStr">
        <is>
          <t>FRANCISCO</t>
        </is>
      </c>
      <c r="M10" s="141" t="n">
        <v>120192</v>
      </c>
      <c r="N10" s="32" t="n">
        <v>0.1240480331091995</v>
      </c>
      <c r="O10" s="33" t="inlineStr">
        <is>
          <t>HUMBERTO</t>
        </is>
      </c>
      <c r="P10" s="142" t="n">
        <v>90669</v>
      </c>
      <c r="Q10" s="32" t="n">
        <v>0.09357786802763916</v>
      </c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>
        <v>1183720</v>
      </c>
      <c r="C11" s="33" t="inlineStr">
        <is>
          <t>EDGAR</t>
        </is>
      </c>
      <c r="D11" s="141" t="n">
        <v>197521</v>
      </c>
      <c r="E11" s="32" t="n">
        <v>0.1668646301490217</v>
      </c>
      <c r="F11" s="33" t="inlineStr">
        <is>
          <t>JORGE</t>
        </is>
      </c>
      <c r="G11" s="141" t="n">
        <v>153292</v>
      </c>
      <c r="H11" s="32" t="n">
        <v>0.129500219646538</v>
      </c>
      <c r="I11" s="33" t="inlineStr">
        <is>
          <t>FRANCISCO</t>
        </is>
      </c>
      <c r="J11" s="141" t="n">
        <v>143592</v>
      </c>
      <c r="K11" s="32" t="n">
        <v>0.1213057141891664</v>
      </c>
      <c r="L11" s="33" t="inlineStr">
        <is>
          <t>TRANSFER. / DEPTOS.</t>
        </is>
      </c>
      <c r="M11" s="141" t="n">
        <v>123957</v>
      </c>
      <c r="N11" s="32" t="n">
        <v>0.1047181765958166</v>
      </c>
      <c r="O11" s="33" t="inlineStr">
        <is>
          <t>V6</t>
        </is>
      </c>
      <c r="P11" s="142" t="n">
        <v>98686</v>
      </c>
      <c r="Q11" s="32" t="n">
        <v>0.08336937789342073</v>
      </c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>
        <v>1102134</v>
      </c>
      <c r="C12" s="33" t="inlineStr">
        <is>
          <t>EDGAR</t>
        </is>
      </c>
      <c r="D12" s="141" t="n">
        <v>186214</v>
      </c>
      <c r="E12" s="32" t="n">
        <v>0.1689576766527482</v>
      </c>
      <c r="F12" s="33" t="inlineStr">
        <is>
          <t>FRANCISCO</t>
        </is>
      </c>
      <c r="G12" s="141" t="n">
        <v>169744</v>
      </c>
      <c r="H12" s="32" t="n">
        <v>0.1540139402286836</v>
      </c>
      <c r="I12" s="33" t="inlineStr">
        <is>
          <t>JORGE</t>
        </is>
      </c>
      <c r="J12" s="141" t="n">
        <v>154488</v>
      </c>
      <c r="K12" s="32" t="n">
        <v>0.1401717032593133</v>
      </c>
      <c r="L12" s="33" t="inlineStr">
        <is>
          <t>TRANSFER. / DEPTOS.</t>
        </is>
      </c>
      <c r="M12" s="141" t="n">
        <v>110061</v>
      </c>
      <c r="N12" s="32" t="n">
        <v>0.0998617228032163</v>
      </c>
      <c r="O12" s="33" t="inlineStr">
        <is>
          <t>OFICINA</t>
        </is>
      </c>
      <c r="P12" s="142" t="n">
        <v>103962</v>
      </c>
      <c r="Q12" s="32" t="n">
        <v>0.09432791293980587</v>
      </c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>
        <v>969181</v>
      </c>
      <c r="C13" s="33" t="inlineStr">
        <is>
          <t>EDGAR</t>
        </is>
      </c>
      <c r="D13" s="141" t="n">
        <v>185587</v>
      </c>
      <c r="E13" s="32" t="n">
        <v>0.1914884835753074</v>
      </c>
      <c r="F13" s="33" t="inlineStr">
        <is>
          <t>JORGE</t>
        </is>
      </c>
      <c r="G13" s="141" t="n">
        <v>149627</v>
      </c>
      <c r="H13" s="32" t="n">
        <v>0.1543849910388256</v>
      </c>
      <c r="I13" s="33" t="inlineStr">
        <is>
          <t>FRANCISCO</t>
        </is>
      </c>
      <c r="J13" s="141" t="n">
        <v>148577</v>
      </c>
      <c r="K13" s="32" t="n">
        <v>0.1533016020743287</v>
      </c>
      <c r="L13" s="33" t="inlineStr">
        <is>
          <t>OFICINA</t>
        </is>
      </c>
      <c r="M13" s="141" t="n">
        <v>124225</v>
      </c>
      <c r="N13" s="32" t="n">
        <v>0.1281752324901128</v>
      </c>
      <c r="O13" s="33" t="inlineStr">
        <is>
          <t>TRANSFER. / DEPTOS.</t>
        </is>
      </c>
      <c r="P13" s="142" t="n">
        <v>93529</v>
      </c>
      <c r="Q13" s="32" t="n">
        <v>0.09650312996230838</v>
      </c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>
        <v>1017516</v>
      </c>
      <c r="C14" s="33" t="inlineStr">
        <is>
          <t>EDGAR</t>
        </is>
      </c>
      <c r="D14" s="141" t="n">
        <v>203385</v>
      </c>
      <c r="E14" s="32" t="n">
        <v>0.1998838347505101</v>
      </c>
      <c r="F14" s="33" t="inlineStr">
        <is>
          <t>JORGE</t>
        </is>
      </c>
      <c r="G14" s="141" t="n">
        <v>166859</v>
      </c>
      <c r="H14" s="32" t="n">
        <v>0.1639866105299573</v>
      </c>
      <c r="I14" s="33" t="inlineStr">
        <is>
          <t>FRANCISCO</t>
        </is>
      </c>
      <c r="J14" s="141" t="n">
        <v>152067</v>
      </c>
      <c r="K14" s="32" t="n">
        <v>0.1494492469897279</v>
      </c>
      <c r="L14" s="33" t="inlineStr">
        <is>
          <t>OFICINA</t>
        </is>
      </c>
      <c r="M14" s="141" t="n">
        <v>96966</v>
      </c>
      <c r="N14" s="32" t="n">
        <v>0.09529678157395068</v>
      </c>
      <c r="O14" s="33" t="inlineStr">
        <is>
          <t>TRANSFER. / DEPTOS.</t>
        </is>
      </c>
      <c r="P14" s="142" t="n">
        <v>75004</v>
      </c>
      <c r="Q14" s="32" t="n">
        <v>0.07371284579308826</v>
      </c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>
        <v>1336151</v>
      </c>
      <c r="C15" s="33" t="inlineStr">
        <is>
          <t>EDGAR</t>
        </is>
      </c>
      <c r="D15" s="141" t="n">
        <v>226250</v>
      </c>
      <c r="E15" s="32" t="n">
        <v>0.16933</v>
      </c>
      <c r="F15" s="33" t="inlineStr">
        <is>
          <t>JORGE</t>
        </is>
      </c>
      <c r="G15" s="141" t="n">
        <v>189359</v>
      </c>
      <c r="H15" s="32" t="n">
        <v>0.14172</v>
      </c>
      <c r="I15" s="33" t="inlineStr">
        <is>
          <t>OFICINA</t>
        </is>
      </c>
      <c r="J15" s="141" t="n">
        <v>166049</v>
      </c>
      <c r="K15" s="32" t="n">
        <v>0.124274</v>
      </c>
      <c r="L15" s="33" t="inlineStr">
        <is>
          <t>FRANCISCO</t>
        </is>
      </c>
      <c r="M15" s="141" t="n">
        <v>166046</v>
      </c>
      <c r="N15" s="32" t="n">
        <v>0.124272</v>
      </c>
      <c r="O15" s="33" t="inlineStr">
        <is>
          <t>TRANSFER. / DEPTOS.</t>
        </is>
      </c>
      <c r="P15" s="142" t="n">
        <v>89024</v>
      </c>
      <c r="Q15" s="32" t="n">
        <v>0.06662700000000001</v>
      </c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>
        <v>1106880</v>
      </c>
      <c r="C16" s="34" t="inlineStr">
        <is>
          <t>EDGAR</t>
        </is>
      </c>
      <c r="D16" s="150" t="n">
        <v>223451</v>
      </c>
      <c r="E16" s="35" t="n">
        <v>0.201875</v>
      </c>
      <c r="F16" s="34" t="inlineStr">
        <is>
          <t>FRANCISCO</t>
        </is>
      </c>
      <c r="G16" s="150" t="n">
        <v>155191</v>
      </c>
      <c r="H16" s="35" t="n">
        <v>0.140206</v>
      </c>
      <c r="I16" s="34" t="inlineStr">
        <is>
          <t>JORGE</t>
        </is>
      </c>
      <c r="J16" s="150" t="n">
        <v>150841</v>
      </c>
      <c r="K16" s="35" t="n">
        <v>0.136276</v>
      </c>
      <c r="L16" s="34" t="inlineStr">
        <is>
          <t>TRANSFER. / DEPTOS.</t>
        </is>
      </c>
      <c r="M16" s="150" t="n">
        <v>144907</v>
      </c>
      <c r="N16" s="35" t="n">
        <v>0.130915</v>
      </c>
      <c r="O16" s="34" t="inlineStr">
        <is>
          <t>V38</t>
        </is>
      </c>
      <c r="P16" s="151" t="n">
        <v>66440</v>
      </c>
      <c r="Q16" s="35" t="n">
        <v>0.060025</v>
      </c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"/>
  <sheetViews>
    <sheetView topLeftCell="A2" workbookViewId="0">
      <selection activeCell="N12" sqref="N12"/>
    </sheetView>
  </sheetViews>
  <sheetFormatPr baseColWidth="10" defaultRowHeight="18.75"/>
  <cols>
    <col width="19.42578125" bestFit="1" customWidth="1" min="1" max="1"/>
    <col width="15.7109375" customWidth="1" style="160" min="2" max="2"/>
    <col width="18.42578125" customWidth="1" min="3" max="3"/>
    <col width="15.7109375" customWidth="1" style="118" min="4" max="4"/>
    <col width="15.7109375" customWidth="1" style="53" min="5" max="5"/>
    <col width="15.7109375" customWidth="1" min="6" max="6"/>
    <col width="15.7109375" customWidth="1" style="118" min="7" max="7"/>
    <col width="15.7109375" customWidth="1" style="53" min="8" max="8"/>
    <col width="15.7109375" customWidth="1" min="9" max="9"/>
    <col width="15.7109375" customWidth="1" style="118" min="10" max="10"/>
    <col width="15.7109375" customWidth="1" style="53" min="11" max="11"/>
    <col width="15.7109375" customWidth="1" min="12" max="12"/>
    <col width="15.7109375" customWidth="1" style="118" min="13" max="13"/>
    <col width="15.7109375" customWidth="1" style="53" min="14" max="14"/>
    <col width="15.7109375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PORCENTAJE5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PORCENTAJE4</t>
        </is>
      </c>
    </row>
    <row r="4" ht="23.25" customFormat="1" customHeight="1" s="4">
      <c r="A4" s="40" t="inlineStr">
        <is>
          <t>ENERO</t>
        </is>
      </c>
      <c r="B4" s="157" t="n">
        <v>64947</v>
      </c>
      <c r="C4" s="144" t="inlineStr">
        <is>
          <t>TRANSFER. / DEPTOS.</t>
        </is>
      </c>
      <c r="D4" s="141" t="n">
        <v>16903</v>
      </c>
      <c r="E4" s="32" t="n">
        <v>0.26</v>
      </c>
      <c r="F4" s="152" t="inlineStr">
        <is>
          <t>V6 GABY</t>
        </is>
      </c>
      <c r="G4" s="141" t="n">
        <v>9941</v>
      </c>
      <c r="H4" s="32" t="n">
        <v>0.16</v>
      </c>
      <c r="I4" s="145" t="inlineStr">
        <is>
          <t>V1 COCO</t>
        </is>
      </c>
      <c r="J4" s="141" t="n">
        <v>7708</v>
      </c>
      <c r="K4" s="32" t="n">
        <v>0.12</v>
      </c>
      <c r="L4" s="8" t="inlineStr">
        <is>
          <t>OFICINA</t>
        </is>
      </c>
      <c r="M4" s="141" t="n">
        <v>7241</v>
      </c>
      <c r="N4" s="32" t="n">
        <v>0.11</v>
      </c>
      <c r="O4" s="25" t="inlineStr">
        <is>
          <t>JORGE</t>
        </is>
      </c>
      <c r="P4" s="142" t="n">
        <v>5500</v>
      </c>
      <c r="Q4" s="32" t="n">
        <v>0.08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67811</v>
      </c>
      <c r="C5" s="144" t="inlineStr">
        <is>
          <t>TRANSFER. / DEPTOS.</t>
        </is>
      </c>
      <c r="D5" s="141" t="n">
        <v>12354</v>
      </c>
      <c r="E5" s="32" t="n">
        <v>0.19</v>
      </c>
      <c r="F5" s="152" t="inlineStr">
        <is>
          <t>V6 GABY</t>
        </is>
      </c>
      <c r="G5" s="141" t="n">
        <v>8370</v>
      </c>
      <c r="H5" s="32" t="n">
        <v>0.12</v>
      </c>
      <c r="I5" s="145" t="inlineStr">
        <is>
          <t>V1 COCO</t>
        </is>
      </c>
      <c r="J5" s="141" t="n">
        <v>8183</v>
      </c>
      <c r="K5" s="32" t="n">
        <v>0.12</v>
      </c>
      <c r="L5" s="8" t="inlineStr">
        <is>
          <t>OFICINA</t>
        </is>
      </c>
      <c r="M5" s="141" t="n">
        <v>7695</v>
      </c>
      <c r="N5" s="32" t="n">
        <v>0.11</v>
      </c>
      <c r="O5" s="56" t="inlineStr">
        <is>
          <t>V14 CARMEN</t>
        </is>
      </c>
      <c r="P5" s="142" t="n">
        <v>4738</v>
      </c>
      <c r="Q5" s="32" t="n">
        <v>0.07000000000000001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46586</v>
      </c>
      <c r="C6" s="25" t="inlineStr">
        <is>
          <t>JORGE</t>
        </is>
      </c>
      <c r="D6" s="141" t="n">
        <v>6184</v>
      </c>
      <c r="E6" s="32" t="n">
        <v>0.1327437427553342</v>
      </c>
      <c r="F6" s="144" t="inlineStr">
        <is>
          <t>TRANSFER. / DEPTOS.</t>
        </is>
      </c>
      <c r="G6" s="141" t="n">
        <v>5870</v>
      </c>
      <c r="H6" s="32" t="n">
        <v>0.1260035203709269</v>
      </c>
      <c r="I6" s="5" t="inlineStr">
        <is>
          <t>V39 JOSE C.</t>
        </is>
      </c>
      <c r="J6" s="141" t="n">
        <v>4980</v>
      </c>
      <c r="K6" s="32" t="n">
        <v>0.106899068389645</v>
      </c>
      <c r="L6" s="18" t="inlineStr">
        <is>
          <t>HUMBERTO</t>
        </is>
      </c>
      <c r="M6" s="141" t="n">
        <v>4305</v>
      </c>
      <c r="N6" s="32" t="n">
        <v>0.09240973683080754</v>
      </c>
      <c r="O6" s="8" t="inlineStr">
        <is>
          <t>OFICINA</t>
        </is>
      </c>
      <c r="P6" s="142" t="n">
        <v>4069</v>
      </c>
      <c r="Q6" s="32" t="n">
        <v>0.08734383720431031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7329485</v>
      </c>
      <c r="C7" s="33" t="inlineStr">
        <is>
          <t>EDGAR</t>
        </is>
      </c>
      <c r="D7" s="141" t="n">
        <v>1244506</v>
      </c>
      <c r="E7" s="32" t="n">
        <v>0.1697944671419615</v>
      </c>
      <c r="F7" s="33" t="inlineStr">
        <is>
          <t>JORGE</t>
        </is>
      </c>
      <c r="G7" s="141" t="n">
        <v>1060930</v>
      </c>
      <c r="H7" s="32" t="n">
        <v>0.1447482326520895</v>
      </c>
      <c r="I7" s="33" t="inlineStr">
        <is>
          <t>FRANCISCO</t>
        </is>
      </c>
      <c r="J7" s="141" t="n">
        <v>964047</v>
      </c>
      <c r="K7" s="32" t="n">
        <v>0.1315299778906704</v>
      </c>
      <c r="L7" s="33" t="inlineStr">
        <is>
          <t>TRANSFER. / DEPTOS.</t>
        </is>
      </c>
      <c r="M7" s="141" t="n">
        <v>785192</v>
      </c>
      <c r="N7" s="32" t="n">
        <v>0.1071278541398202</v>
      </c>
      <c r="O7" s="33" t="inlineStr">
        <is>
          <t>OFICINA</t>
        </is>
      </c>
      <c r="P7" s="142" t="n">
        <v>627104</v>
      </c>
      <c r="Q7" s="32" t="n">
        <v>0.08555908089040362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6183397</v>
      </c>
      <c r="C8" s="33" t="inlineStr">
        <is>
          <t>EDGAR</t>
        </is>
      </c>
      <c r="D8" s="141" t="n">
        <v>1070450</v>
      </c>
      <c r="E8" s="32" t="n">
        <v>0.1731168158861545</v>
      </c>
      <c r="F8" s="33" t="inlineStr">
        <is>
          <t>JORGE</t>
        </is>
      </c>
      <c r="G8" s="141" t="n">
        <v>896766</v>
      </c>
      <c r="H8" s="32" t="n">
        <v>0.1450280484982608</v>
      </c>
      <c r="I8" s="33" t="inlineStr">
        <is>
          <t>FRANCISCO</t>
        </is>
      </c>
      <c r="J8" s="141" t="n">
        <v>853280</v>
      </c>
      <c r="K8" s="32" t="n">
        <v>0.1379953446301442</v>
      </c>
      <c r="L8" s="33" t="inlineStr">
        <is>
          <t>TRANSFER. / DEPTOS.</t>
        </is>
      </c>
      <c r="M8" s="141" t="n">
        <v>615958</v>
      </c>
      <c r="N8" s="32" t="n">
        <v>0.09961482337297767</v>
      </c>
      <c r="O8" s="33" t="inlineStr">
        <is>
          <t>OFICINA</t>
        </is>
      </c>
      <c r="P8" s="142" t="n">
        <v>549255</v>
      </c>
      <c r="Q8" s="32" t="n">
        <v>0.0888273872759585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>
        <v>46838</v>
      </c>
      <c r="C9" s="33" t="inlineStr">
        <is>
          <t>TRANSFER. / DEPTOS.</t>
        </is>
      </c>
      <c r="D9" s="141" t="n">
        <v>13249</v>
      </c>
      <c r="E9" s="32" t="n">
        <v>0.2828686109569153</v>
      </c>
      <c r="F9" s="33" t="inlineStr">
        <is>
          <t>FRANCISCO</t>
        </is>
      </c>
      <c r="G9" s="141" t="n">
        <v>7328</v>
      </c>
      <c r="H9" s="32" t="n">
        <v>0.156454161151202</v>
      </c>
      <c r="I9" s="33" t="inlineStr">
        <is>
          <t>EDGAR</t>
        </is>
      </c>
      <c r="J9" s="141" t="n">
        <v>6508</v>
      </c>
      <c r="K9" s="32" t="n">
        <v>0.1389470088389769</v>
      </c>
      <c r="L9" s="33" t="inlineStr">
        <is>
          <t>V6</t>
        </is>
      </c>
      <c r="M9" s="141" t="n">
        <v>6156</v>
      </c>
      <c r="N9" s="32" t="n">
        <v>0.1314317434561681</v>
      </c>
      <c r="O9" s="33" t="inlineStr">
        <is>
          <t>V1</t>
        </is>
      </c>
      <c r="P9" s="142" t="n">
        <v>3484</v>
      </c>
      <c r="Q9" s="32" t="n">
        <v>0.07438404714121012</v>
      </c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>
        <v>2838</v>
      </c>
      <c r="C10" s="33" t="inlineStr">
        <is>
          <t>TRANSFER. / DEPTOS.</t>
        </is>
      </c>
      <c r="D10" s="141" t="n">
        <v>2838</v>
      </c>
      <c r="E10" s="32" t="n">
        <v>1</v>
      </c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>
        <v>1993</v>
      </c>
      <c r="C11" s="33" t="inlineStr">
        <is>
          <t>V27</t>
        </is>
      </c>
      <c r="D11" s="141" t="n">
        <v>749</v>
      </c>
      <c r="E11" s="32" t="n">
        <v>0.3758153537380833</v>
      </c>
      <c r="F11" s="33" t="inlineStr">
        <is>
          <t>TRANSFER. / DEPTOS.</t>
        </is>
      </c>
      <c r="G11" s="141" t="n">
        <v>734</v>
      </c>
      <c r="H11" s="32" t="n">
        <v>0.3682890115403913</v>
      </c>
      <c r="I11" s="33" t="inlineStr">
        <is>
          <t>OFICINA</t>
        </is>
      </c>
      <c r="J11" s="141" t="n">
        <v>510</v>
      </c>
      <c r="K11" s="32" t="n">
        <v>0.2558956347215253</v>
      </c>
      <c r="L11" s="33" t="n"/>
      <c r="M11" s="141" t="n"/>
      <c r="N11" s="32" t="n"/>
      <c r="O11" s="33" t="n"/>
      <c r="P11" s="142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>
        <v>1143</v>
      </c>
      <c r="C12" s="33" t="inlineStr">
        <is>
          <t>FRANCISCO</t>
        </is>
      </c>
      <c r="D12" s="141" t="n">
        <v>680</v>
      </c>
      <c r="E12" s="32" t="n">
        <v>0.594925634295713</v>
      </c>
      <c r="F12" s="33" t="inlineStr">
        <is>
          <t>OTROS</t>
        </is>
      </c>
      <c r="G12" s="141" t="n">
        <v>463</v>
      </c>
      <c r="H12" s="32" t="n">
        <v>0.405074365704287</v>
      </c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>
        <v>29572</v>
      </c>
      <c r="C13" s="33" t="inlineStr">
        <is>
          <t>TRANSFER. / DEPTOS.</t>
        </is>
      </c>
      <c r="D13" s="141" t="n">
        <v>9852</v>
      </c>
      <c r="E13" s="32" t="n">
        <v>0.3331529825510618</v>
      </c>
      <c r="F13" s="33" t="inlineStr">
        <is>
          <t>V38</t>
        </is>
      </c>
      <c r="G13" s="141" t="n">
        <v>6395</v>
      </c>
      <c r="H13" s="32" t="n">
        <v>0.2162518598674422</v>
      </c>
      <c r="I13" s="33" t="inlineStr">
        <is>
          <t>EDGAR</t>
        </is>
      </c>
      <c r="J13" s="141" t="n">
        <v>5092</v>
      </c>
      <c r="K13" s="32" t="n">
        <v>0.1721899093737319</v>
      </c>
      <c r="L13" s="33" t="inlineStr">
        <is>
          <t>FRANCISCO</t>
        </is>
      </c>
      <c r="M13" s="141" t="n">
        <v>4420</v>
      </c>
      <c r="N13" s="32" t="n">
        <v>0.1494657108075206</v>
      </c>
      <c r="O13" s="33" t="inlineStr">
        <is>
          <t>OFICINA</t>
        </is>
      </c>
      <c r="P13" s="142" t="n">
        <v>1190</v>
      </c>
      <c r="Q13" s="32" t="n">
        <v>0.04024076829433248</v>
      </c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>
        <v>198216</v>
      </c>
      <c r="C14" s="33" t="inlineStr">
        <is>
          <t>TRANSFER. / DEPTOS.</t>
        </is>
      </c>
      <c r="D14" s="141" t="n">
        <v>55727</v>
      </c>
      <c r="E14" s="32" t="n">
        <v>0.281143</v>
      </c>
      <c r="F14" s="33" t="inlineStr">
        <is>
          <t>EDGAR</t>
        </is>
      </c>
      <c r="G14" s="141" t="n">
        <v>35707</v>
      </c>
      <c r="H14" s="32" t="n">
        <v>0.180142</v>
      </c>
      <c r="I14" s="33" t="inlineStr">
        <is>
          <t>OFICINA</t>
        </is>
      </c>
      <c r="J14" s="141" t="n">
        <v>27160</v>
      </c>
      <c r="K14" s="32" t="n">
        <v>0.137022</v>
      </c>
      <c r="L14" s="33" t="inlineStr">
        <is>
          <t>JORGE</t>
        </is>
      </c>
      <c r="M14" s="141" t="n">
        <v>24155</v>
      </c>
      <c r="N14" s="32" t="n">
        <v>0.121862</v>
      </c>
      <c r="O14" s="33" t="inlineStr">
        <is>
          <t>FRANCISCO</t>
        </is>
      </c>
      <c r="P14" s="142" t="n">
        <v>20931</v>
      </c>
      <c r="Q14" s="32" t="n">
        <v>0.105597</v>
      </c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>
        <v>1873795</v>
      </c>
      <c r="C15" s="34" t="inlineStr">
        <is>
          <t>TRANSFER. / DEPTOS.</t>
        </is>
      </c>
      <c r="D15" s="150" t="n">
        <v>717259</v>
      </c>
      <c r="E15" s="35" t="n">
        <v>0.382784</v>
      </c>
      <c r="F15" s="34" t="inlineStr">
        <is>
          <t>EDGAR</t>
        </is>
      </c>
      <c r="G15" s="150" t="n">
        <v>227341</v>
      </c>
      <c r="H15" s="35" t="n">
        <v>0.121327</v>
      </c>
      <c r="I15" s="34" t="inlineStr">
        <is>
          <t>JORGE</t>
        </is>
      </c>
      <c r="J15" s="150" t="n">
        <v>159621</v>
      </c>
      <c r="K15" s="35" t="n">
        <v>0.085186</v>
      </c>
      <c r="L15" s="34" t="inlineStr">
        <is>
          <t>FRANCISCO</t>
        </is>
      </c>
      <c r="M15" s="150" t="n">
        <v>151545</v>
      </c>
      <c r="N15" s="35" t="n">
        <v>0.080876</v>
      </c>
      <c r="O15" s="34" t="inlineStr">
        <is>
          <t>OFICINA</t>
        </is>
      </c>
      <c r="P15" s="151" t="n">
        <v>142168</v>
      </c>
      <c r="Q15" s="35" t="n">
        <v>0.075872</v>
      </c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  <row r="23">
      <c r="S23" s="56" t="inlineStr">
        <is>
          <t>V14 CARMEN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M11" sqref="M11"/>
    </sheetView>
  </sheetViews>
  <sheetFormatPr baseColWidth="10" defaultRowHeight="15"/>
  <cols>
    <col width="19.42578125" bestFit="1" customWidth="1" min="1" max="1"/>
    <col width="20.28515625" bestFit="1" customWidth="1" style="118" min="2" max="2"/>
    <col width="11.5703125" bestFit="1" customWidth="1" style="53" min="3" max="3"/>
    <col width="28.7109375" bestFit="1" customWidth="1" style="118" min="4" max="4"/>
    <col width="11.5703125" bestFit="1" customWidth="1" style="53" min="5" max="5"/>
    <col width="19.5703125" bestFit="1" customWidth="1" style="118" min="6" max="6"/>
    <col width="11.5703125" bestFit="1" customWidth="1" style="53" min="7" max="7"/>
    <col width="17.42578125" bestFit="1" customWidth="1" style="118" min="8" max="8"/>
    <col width="11.28515625" customWidth="1" style="53" min="9" max="9"/>
  </cols>
  <sheetData>
    <row r="1"/>
    <row r="2" ht="26.25" customHeight="1">
      <c r="D2" s="164" t="inlineStr">
        <is>
          <t xml:space="preserve">PROYECCION MENSUAL </t>
        </is>
      </c>
      <c r="E2" s="54" t="n"/>
      <c r="F2" s="165" t="n"/>
    </row>
    <row r="3"/>
    <row r="4" ht="23.25" customHeight="1">
      <c r="A4" s="12" t="inlineStr">
        <is>
          <t>MES</t>
        </is>
      </c>
      <c r="B4" s="166" t="inlineStr">
        <is>
          <t>CORRIENTE</t>
        </is>
      </c>
      <c r="C4" s="3" t="inlineStr">
        <is>
          <t>%</t>
        </is>
      </c>
      <c r="D4" s="166" t="inlineStr">
        <is>
          <t xml:space="preserve">CANCELACIONES </t>
        </is>
      </c>
      <c r="E4" s="3" t="inlineStr">
        <is>
          <t>%2</t>
        </is>
      </c>
      <c r="F4" s="166" t="inlineStr">
        <is>
          <t>EFECTIVA</t>
        </is>
      </c>
      <c r="G4" s="3" t="inlineStr">
        <is>
          <t>%3</t>
        </is>
      </c>
      <c r="H4" s="166" t="inlineStr">
        <is>
          <t>VENCIDA</t>
        </is>
      </c>
      <c r="I4" s="55" t="inlineStr">
        <is>
          <t>%4</t>
        </is>
      </c>
    </row>
    <row r="5" ht="23.25" customHeight="1">
      <c r="A5" s="10" t="inlineStr">
        <is>
          <t>ENERO</t>
        </is>
      </c>
      <c r="B5" s="167" t="n"/>
      <c r="C5" s="57" t="n"/>
      <c r="D5" s="167" t="n"/>
      <c r="E5" s="57" t="n"/>
      <c r="F5" s="167" t="n"/>
      <c r="G5" s="57" t="n"/>
      <c r="H5" s="167" t="n"/>
      <c r="I5" s="58" t="n"/>
    </row>
    <row r="6" ht="23.25" customHeight="1">
      <c r="A6" s="11" t="inlineStr">
        <is>
          <t>FEBRERO</t>
        </is>
      </c>
      <c r="B6" s="141" t="n">
        <v>1354042.28</v>
      </c>
      <c r="C6" s="17" t="n">
        <v>1</v>
      </c>
      <c r="D6" s="141" t="n">
        <v>135404.23</v>
      </c>
      <c r="E6" s="17" t="n">
        <v>0.1</v>
      </c>
      <c r="F6" s="141" t="n">
        <v>1015531.71</v>
      </c>
      <c r="G6" s="17" t="n">
        <v>0.75</v>
      </c>
      <c r="H6" s="141" t="n">
        <v>203106.34</v>
      </c>
      <c r="I6" s="19" t="n">
        <v>0.15</v>
      </c>
    </row>
    <row r="7" ht="23.25" customHeight="1">
      <c r="A7" s="10" t="inlineStr">
        <is>
          <t>MARZO</t>
        </is>
      </c>
      <c r="B7" s="141" t="n">
        <v>1151341</v>
      </c>
      <c r="C7" s="17" t="n">
        <v>1</v>
      </c>
      <c r="D7" s="141">
        <f>Tabla11[[#This Row],[CORRIENTE]]*0.1</f>
        <v/>
      </c>
      <c r="E7" s="17" t="n">
        <v>0.1</v>
      </c>
      <c r="F7" s="141">
        <f>Tabla11[[#This Row],[CORRIENTE]]*0.75</f>
        <v/>
      </c>
      <c r="G7" s="17" t="n">
        <v>0.75</v>
      </c>
      <c r="H7" s="141">
        <f>Tabla11[[#This Row],[CORRIENTE]]*0.15</f>
        <v/>
      </c>
      <c r="I7" s="19" t="n">
        <v>0.15</v>
      </c>
    </row>
    <row r="8" ht="23.25" customHeight="1">
      <c r="A8" s="11" t="inlineStr">
        <is>
          <t>ABRIL</t>
        </is>
      </c>
      <c r="B8" s="141" t="n">
        <v>465682</v>
      </c>
      <c r="C8" s="17" t="n"/>
      <c r="D8" s="141">
        <f>Tabla11[[#This Row],[CORRIENTE]]*0.1</f>
        <v/>
      </c>
      <c r="E8" s="17" t="n"/>
      <c r="F8" s="141">
        <f>Tabla11[[#This Row],[CORRIENTE]]*0.75</f>
        <v/>
      </c>
      <c r="G8" s="17" t="n"/>
      <c r="H8" s="141">
        <f>Tabla11[[#This Row],[CORRIENTE]]*0.15</f>
        <v/>
      </c>
      <c r="I8" s="19" t="n"/>
    </row>
    <row r="9" ht="23.25" customHeight="1">
      <c r="A9" s="10" t="inlineStr">
        <is>
          <t>MAYO</t>
        </is>
      </c>
      <c r="B9" s="141" t="n">
        <v>465682</v>
      </c>
      <c r="C9" s="17" t="n"/>
      <c r="D9" s="141">
        <f>Tabla11[[#This Row],[CORRIENTE]]*0.1</f>
        <v/>
      </c>
      <c r="E9" s="17" t="n"/>
      <c r="F9" s="141">
        <f>Tabla11[[#This Row],[CORRIENTE]]*0.75</f>
        <v/>
      </c>
      <c r="G9" s="17" t="n"/>
      <c r="H9" s="141">
        <f>Tabla11[[#This Row],[CORRIENTE]]*0.15</f>
        <v/>
      </c>
      <c r="I9" s="19" t="n"/>
    </row>
    <row r="10" ht="23.25" customHeight="1">
      <c r="A10" s="11" t="inlineStr">
        <is>
          <t>JUNIO</t>
        </is>
      </c>
      <c r="B10" s="141" t="n">
        <v>1042082</v>
      </c>
      <c r="C10" s="17" t="n"/>
      <c r="D10" s="141">
        <f>Tabla11[[#This Row],[CORRIENTE]]*0.1</f>
        <v/>
      </c>
      <c r="E10" s="17" t="n"/>
      <c r="F10" s="141">
        <f>Tabla11[[#This Row],[CORRIENTE]]*0.75</f>
        <v/>
      </c>
      <c r="G10" s="17" t="n"/>
      <c r="H10" s="141">
        <f>Tabla11[[#This Row],[CORRIENTE]]*0.15</f>
        <v/>
      </c>
      <c r="I10" s="19" t="n"/>
    </row>
    <row r="11" ht="23.25" customHeight="1">
      <c r="A11" s="10" t="inlineStr">
        <is>
          <t>JULIO</t>
        </is>
      </c>
      <c r="B11" s="141" t="n">
        <v>984121</v>
      </c>
      <c r="C11" s="17" t="n"/>
      <c r="D11" s="141">
        <f>Tabla11[[#This Row],[CORRIENTE]]*0.1</f>
        <v/>
      </c>
      <c r="E11" s="17" t="n"/>
      <c r="F11" s="141">
        <f>Tabla11[[#This Row],[CORRIENTE]]*0.75</f>
        <v/>
      </c>
      <c r="G11" s="17" t="n"/>
      <c r="H11" s="141">
        <f>Tabla11[[#This Row],[CORRIENTE]]*0.15</f>
        <v/>
      </c>
      <c r="I11" s="19" t="n"/>
    </row>
    <row r="12" ht="23.25" customHeight="1">
      <c r="A12" s="11" t="inlineStr">
        <is>
          <t>AGOSTO</t>
        </is>
      </c>
      <c r="B12" s="141" t="n">
        <v>1151341</v>
      </c>
      <c r="C12" s="17" t="n"/>
      <c r="D12" s="141">
        <f>Tabla11[[#This Row],[CORRIENTE]]*0.1</f>
        <v/>
      </c>
      <c r="E12" s="17" t="n"/>
      <c r="F12" s="141">
        <f>Tabla11[[#This Row],[CORRIENTE]]*0.75</f>
        <v/>
      </c>
      <c r="G12" s="17" t="n"/>
      <c r="H12" s="141">
        <f>Tabla11[[#This Row],[CORRIENTE]]*0.15</f>
        <v/>
      </c>
      <c r="I12" s="19" t="n"/>
    </row>
    <row r="13" ht="23.25" customHeight="1">
      <c r="A13" s="10" t="inlineStr">
        <is>
          <t>SEPTIEMBRE</t>
        </is>
      </c>
      <c r="B13" s="141" t="n">
        <v>1014102</v>
      </c>
      <c r="C13" s="17" t="n"/>
      <c r="D13" s="141">
        <f>Tabla11[[#This Row],[CORRIENTE]]*0.1</f>
        <v/>
      </c>
      <c r="E13" s="17" t="n"/>
      <c r="F13" s="141">
        <f>Tabla11[[#This Row],[CORRIENTE]]*0.75</f>
        <v/>
      </c>
      <c r="G13" s="17" t="n"/>
      <c r="H13" s="141">
        <f>Tabla11[[#This Row],[CORRIENTE]]*0.15</f>
        <v/>
      </c>
      <c r="I13" s="19" t="n"/>
    </row>
    <row r="14" ht="23.25" customHeight="1">
      <c r="A14" s="11" t="inlineStr">
        <is>
          <t>OCTUBRE</t>
        </is>
      </c>
      <c r="B14" s="141" t="n"/>
      <c r="C14" s="17" t="n"/>
      <c r="D14" s="141">
        <f>Tabla11[[#This Row],[CORRIENTE]]*0.1</f>
        <v/>
      </c>
      <c r="E14" s="17" t="n"/>
      <c r="F14" s="141">
        <f>Tabla11[[#This Row],[CORRIENTE]]*0.75</f>
        <v/>
      </c>
      <c r="G14" s="17" t="n"/>
      <c r="H14" s="141">
        <f>Tabla11[[#This Row],[CORRIENTE]]*0.15</f>
        <v/>
      </c>
      <c r="I14" s="19" t="n"/>
    </row>
    <row r="15" ht="23.25" customHeight="1">
      <c r="A15" s="10" t="inlineStr">
        <is>
          <t>NOVIEMBRE</t>
        </is>
      </c>
      <c r="B15" s="141" t="n"/>
      <c r="C15" s="17" t="n"/>
      <c r="D15" s="141">
        <f>Tabla11[[#This Row],[CORRIENTE]]*0.1</f>
        <v/>
      </c>
      <c r="E15" s="17" t="n"/>
      <c r="F15" s="141">
        <f>Tabla11[[#This Row],[CORRIENTE]]*0.75</f>
        <v/>
      </c>
      <c r="G15" s="17" t="n"/>
      <c r="H15" s="141">
        <f>Tabla11[[#This Row],[CORRIENTE]]*0.15</f>
        <v/>
      </c>
      <c r="I15" s="19" t="n"/>
    </row>
    <row r="16" ht="23.25" customHeight="1">
      <c r="A16" s="13" t="inlineStr">
        <is>
          <t>DICIEMBRE</t>
        </is>
      </c>
      <c r="B16" s="141" t="n">
        <v>1227299</v>
      </c>
      <c r="C16" s="17" t="n"/>
      <c r="D16" s="141">
        <f>Tabla11[[#This Row],[CORRIENTE]]*0.1</f>
        <v/>
      </c>
      <c r="E16" s="17" t="n"/>
      <c r="F16" s="141">
        <f>Tabla11[[#This Row],[CORRIENTE]]*0.75</f>
        <v/>
      </c>
      <c r="G16" s="17" t="n"/>
      <c r="H16" s="141">
        <f>Tabla11[[#This Row],[CORRIENTE]]*0.15</f>
        <v/>
      </c>
      <c r="I16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RIVAS</dc:creator>
  <dcterms:created xmlns:dcterms="http://purl.org/dc/terms/" xmlns:xsi="http://www.w3.org/2001/XMLSchema-instance" xsi:type="dcterms:W3CDTF">2024-02-04T01:04:44Z</dcterms:created>
  <dcterms:modified xmlns:dcterms="http://purl.org/dc/terms/" xmlns:xsi="http://www.w3.org/2001/XMLSchema-instance" xsi:type="dcterms:W3CDTF">2026-05-15T21:35:14Z</dcterms:modified>
  <cp:lastModifiedBy>Hector Lopez</cp:lastModifiedBy>
</cp:coreProperties>
</file>