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Hoja2" sheetId="2" state="visible" r:id="rId2"/>
    <sheet xmlns:r="http://schemas.openxmlformats.org/officeDocument/2006/relationships" name="Hoja3" sheetId="3" state="visible" r:id="rId3"/>
    <sheet xmlns:r="http://schemas.openxmlformats.org/officeDocument/2006/relationships" name="Balance acomodado" sheetId="4" state="visible" r:id="rId4"/>
    <sheet xmlns:r="http://schemas.openxmlformats.org/officeDocument/2006/relationships" name="Estado acomodado" sheetId="5" state="visible" r:id="rId5"/>
  </sheets>
  <definedNames>
    <definedName name="_xlnm.Print_Area" localSheetId="0">'Hoja1'!$A$1:$K$57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$#,##0.00;-$#,##0.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8"/>
    </font>
    <font>
      <name val="Calibri"/>
      <family val="2"/>
      <b val="1"/>
      <color theme="1"/>
      <sz val="9"/>
      <scheme val="minor"/>
    </font>
    <font>
      <name val="Arial"/>
      <family val="2"/>
      <b val="1"/>
      <color theme="1"/>
      <sz val="9"/>
    </font>
    <font>
      <name val="Arial"/>
      <family val="2"/>
      <b val="1"/>
      <color theme="1"/>
      <sz val="12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strike val="1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9"/>
      <scheme val="minor"/>
    </font>
    <font>
      <name val="Arial"/>
      <family val="2"/>
      <b val="1"/>
      <color theme="1"/>
      <sz val="10"/>
    </font>
    <font>
      <b val="1"/>
      <sz val="14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/>
    </xf>
    <xf numFmtId="0" fontId="0" fillId="0" borderId="4" pivotButton="0" quotePrefix="0" xfId="0"/>
    <xf numFmtId="0" fontId="9" fillId="0" borderId="0" pivotButton="0" quotePrefix="0" xfId="0"/>
    <xf numFmtId="3" fontId="0" fillId="0" borderId="0" pivotButton="0" quotePrefix="0" xfId="0"/>
    <xf numFmtId="0" fontId="6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4" pivotButton="0" quotePrefix="0" xfId="0"/>
    <xf numFmtId="0" fontId="2" fillId="0" borderId="4" pivotButton="0" quotePrefix="0" xfId="0"/>
    <xf numFmtId="0" fontId="4" fillId="0" borderId="4" pivotButton="0" quotePrefix="0" xfId="0"/>
    <xf numFmtId="3" fontId="3" fillId="0" borderId="4" pivotButton="0" quotePrefix="0" xfId="0"/>
    <xf numFmtId="2" fontId="3" fillId="0" borderId="4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4" pivotButton="0" quotePrefix="0" xfId="0"/>
    <xf numFmtId="0" fontId="1" fillId="0" borderId="4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164" fontId="3" fillId="0" borderId="4" applyAlignment="1" pivotButton="0" quotePrefix="0" xfId="0">
      <alignment horizontal="center"/>
    </xf>
    <xf numFmtId="0" fontId="11" fillId="0" borderId="4" pivotButton="0" quotePrefix="0" xfId="0"/>
    <xf numFmtId="164" fontId="10" fillId="0" borderId="4" applyAlignment="1" pivotButton="0" quotePrefix="0" xfId="0">
      <alignment horizontal="center"/>
    </xf>
    <xf numFmtId="0" fontId="0" fillId="0" borderId="5" pivotButton="0" quotePrefix="0" xfId="0"/>
    <xf numFmtId="0" fontId="12" fillId="0" borderId="4" pivotButton="0" quotePrefix="0" xfId="0"/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2" borderId="6" applyAlignment="1" pivotButton="0" quotePrefix="0" xfId="0">
      <alignment horizontal="center" vertical="center"/>
    </xf>
    <xf numFmtId="0" fontId="16" fillId="3" borderId="6" applyAlignment="1" pivotButton="0" quotePrefix="0" xfId="0">
      <alignment horizontal="center" vertical="center"/>
    </xf>
    <xf numFmtId="0" fontId="0" fillId="0" borderId="6" pivotButton="0" quotePrefix="0" xfId="0"/>
    <xf numFmtId="165" fontId="0" fillId="0" borderId="6" applyAlignment="1" pivotButton="0" quotePrefix="0" xfId="0">
      <alignment horizontal="right" vertical="center"/>
    </xf>
    <xf numFmtId="0" fontId="16" fillId="4" borderId="6" pivotButton="0" quotePrefix="0" xfId="0"/>
    <xf numFmtId="165" fontId="16" fillId="4" borderId="6" applyAlignment="1" pivotButton="0" quotePrefix="0" xfId="0">
      <alignment horizontal="right" vertical="center"/>
    </xf>
    <xf numFmtId="165" fontId="16" fillId="3" borderId="6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57"/>
  <sheetViews>
    <sheetView tabSelected="1" zoomScaleNormal="100" workbookViewId="0">
      <selection activeCell="G3" sqref="G3"/>
    </sheetView>
  </sheetViews>
  <sheetFormatPr baseColWidth="10" defaultRowHeight="15"/>
  <cols>
    <col width="48.42578125" customWidth="1" min="1" max="1"/>
    <col width="1.5703125" customWidth="1" min="2" max="2"/>
    <col width="1.85546875" customWidth="1" min="3" max="3"/>
    <col width="1.5703125" customWidth="1" min="4" max="4"/>
    <col width="26.7109375" customWidth="1" min="7" max="7"/>
    <col width="28.140625" customWidth="1" min="8" max="8"/>
    <col width="14.5703125" customWidth="1" min="10" max="10"/>
    <col width="64.5703125" customWidth="1" min="11" max="11"/>
  </cols>
  <sheetData>
    <row r="2" ht="15.75" customHeight="1">
      <c r="A2" s="8" t="inlineStr">
        <is>
          <t>Práctica de razones financieras</t>
        </is>
      </c>
      <c r="B2" s="5" t="n"/>
      <c r="C2" s="5" t="n"/>
      <c r="D2" s="5" t="n"/>
      <c r="E2" s="5" t="inlineStr">
        <is>
          <t>Nombre del alumno:</t>
        </is>
      </c>
      <c r="F2" s="5" t="n"/>
      <c r="G2" s="5" t="n"/>
      <c r="H2" s="5" t="n"/>
    </row>
    <row r="3" ht="15.75" customHeight="1">
      <c r="A3" s="5" t="n"/>
      <c r="B3" s="5" t="n"/>
      <c r="C3" s="5" t="n"/>
      <c r="D3" s="5" t="n"/>
      <c r="E3" s="5" t="n"/>
      <c r="F3" s="5" t="n"/>
      <c r="G3" s="5" t="n"/>
      <c r="H3" s="5" t="n"/>
    </row>
    <row r="4" ht="15.75" customHeight="1">
      <c r="A4" s="8" t="n"/>
      <c r="B4" s="5" t="n"/>
      <c r="C4" s="5" t="n"/>
      <c r="D4" s="5" t="n"/>
      <c r="E4" s="5" t="n"/>
      <c r="F4" s="5" t="n"/>
      <c r="G4" s="5" t="n"/>
      <c r="H4" s="5" t="n"/>
    </row>
    <row r="5" ht="15.75" customHeight="1">
      <c r="A5" s="8" t="inlineStr">
        <is>
          <t>RAZONES DE OPERACIÓN</t>
        </is>
      </c>
      <c r="B5" s="5" t="n"/>
      <c r="C5" s="5" t="n"/>
      <c r="D5" s="5" t="n"/>
      <c r="E5" s="13" t="inlineStr">
        <is>
          <t xml:space="preserve">                       FORMULAS</t>
        </is>
      </c>
      <c r="F5" s="9" t="n"/>
      <c r="G5" s="9" t="n"/>
      <c r="H5" s="7" t="inlineStr">
        <is>
          <t xml:space="preserve">       operación</t>
        </is>
      </c>
      <c r="I5" s="14" t="inlineStr">
        <is>
          <t>RESULTADO</t>
        </is>
      </c>
      <c r="J5" s="15" t="inlineStr">
        <is>
          <t>UNIDAD DE MEDIDA</t>
        </is>
      </c>
      <c r="K5" s="6" t="inlineStr">
        <is>
          <t xml:space="preserve">                    INTERPRETACION</t>
        </is>
      </c>
      <c r="L5" s="6" t="n"/>
      <c r="M5" s="6" t="n"/>
    </row>
    <row r="6" ht="15.75" customHeight="1">
      <c r="A6" s="33" t="inlineStr">
        <is>
          <t>1) Días de pago.</t>
        </is>
      </c>
      <c r="B6" s="33" t="n"/>
      <c r="C6" s="33" t="n"/>
      <c r="D6" s="21" t="n"/>
      <c r="E6" s="20" t="inlineStr">
        <is>
          <t>(Proveedores/c. de ventas) * días de periodo contable(360)</t>
        </is>
      </c>
      <c r="F6" s="20" t="n"/>
      <c r="G6" s="20" t="n"/>
      <c r="H6" s="23" t="inlineStr">
        <is>
          <t>800,000/5,500,000*360</t>
        </is>
      </c>
      <c r="I6" s="24">
        <f>800000/5500000*360</f>
        <v/>
      </c>
      <c r="J6" s="25" t="inlineStr">
        <is>
          <t>dias</t>
        </is>
      </c>
      <c r="K6" s="10" t="inlineStr">
        <is>
          <t>El financiamiento de los prov. Fue de 52.36 dias</t>
        </is>
      </c>
    </row>
    <row r="7" ht="15.75" customHeight="1">
      <c r="A7" s="33" t="inlineStr">
        <is>
          <t>2) Rotación de días de pago.</t>
        </is>
      </c>
      <c r="B7" s="33" t="n"/>
      <c r="C7" s="33" t="n"/>
      <c r="D7" s="21" t="n"/>
      <c r="E7" s="20" t="inlineStr">
        <is>
          <t xml:space="preserve">(Días de periodo contable/Días de pago). </t>
        </is>
      </c>
      <c r="F7" s="20" t="n"/>
      <c r="G7" s="20" t="n"/>
      <c r="H7" s="26" t="n"/>
      <c r="I7" s="24" t="n"/>
      <c r="J7" s="25" t="n"/>
      <c r="K7" s="10" t="n"/>
    </row>
    <row r="8" ht="15.75" customHeight="1">
      <c r="A8" s="33" t="inlineStr">
        <is>
          <t>3) Días de inventario.</t>
        </is>
      </c>
      <c r="B8" s="33" t="n"/>
      <c r="C8" s="33" t="n"/>
      <c r="D8" s="21" t="n"/>
      <c r="E8" s="20" t="inlineStr">
        <is>
          <t>(Inv./costo de ventas)* días de periodo contable.</t>
        </is>
      </c>
      <c r="F8" s="20" t="n"/>
      <c r="G8" s="20" t="n"/>
      <c r="H8" s="26" t="n"/>
      <c r="I8" s="24" t="n"/>
      <c r="J8" s="25" t="n"/>
      <c r="K8" s="10" t="n"/>
    </row>
    <row r="9" ht="15.75" customHeight="1">
      <c r="A9" s="33" t="inlineStr">
        <is>
          <t>4) Rotación de inventario.</t>
        </is>
      </c>
      <c r="B9" s="33" t="n"/>
      <c r="C9" s="33" t="n"/>
      <c r="D9" s="21" t="n"/>
      <c r="E9" s="20" t="inlineStr">
        <is>
          <t>(Días de periodo contable/Días de inventario).</t>
        </is>
      </c>
      <c r="F9" s="20" t="n"/>
      <c r="G9" s="20" t="n"/>
      <c r="H9" s="26" t="n"/>
      <c r="I9" s="24" t="n"/>
      <c r="J9" s="25" t="n"/>
      <c r="K9" s="10" t="n"/>
    </row>
    <row r="10" ht="15.75" customHeight="1">
      <c r="A10" s="33" t="inlineStr">
        <is>
          <t>5) Días de cuentas por cobrar.</t>
        </is>
      </c>
      <c r="B10" s="33" t="n"/>
      <c r="C10" s="33" t="n"/>
      <c r="D10" s="21" t="n"/>
      <c r="E10" s="20" t="inlineStr">
        <is>
          <t>(c x c/ventas totales)* días de periodo cont.</t>
        </is>
      </c>
      <c r="F10" s="20" t="n"/>
      <c r="G10" s="20" t="n"/>
      <c r="H10" s="26" t="n"/>
      <c r="I10" s="25" t="n"/>
      <c r="J10" s="25" t="n"/>
      <c r="K10" s="10" t="n"/>
    </row>
    <row r="11" ht="15.75" customHeight="1">
      <c r="A11" s="33" t="inlineStr">
        <is>
          <t>6) Rotación de cuentas por cobrar.</t>
        </is>
      </c>
      <c r="B11" s="33" t="n"/>
      <c r="C11" s="33" t="n"/>
      <c r="D11" s="21" t="n"/>
      <c r="E11" s="20" t="inlineStr">
        <is>
          <t>(Días de periodo contable/Días de c.x.c.)</t>
        </is>
      </c>
      <c r="F11" s="20" t="n"/>
      <c r="G11" s="20" t="n"/>
      <c r="H11" s="26" t="n"/>
      <c r="I11" s="24" t="n"/>
      <c r="J11" s="25" t="n"/>
      <c r="K11" s="10" t="n"/>
    </row>
    <row r="12" ht="15.75" customHeight="1">
      <c r="A12" s="8" t="inlineStr">
        <is>
          <t>RAZONES DE RENTABILIDAD</t>
        </is>
      </c>
      <c r="B12" s="5" t="n"/>
      <c r="C12" s="5" t="n"/>
      <c r="D12" s="5" t="n"/>
      <c r="E12" s="7" t="n"/>
      <c r="F12" s="7" t="n"/>
      <c r="G12" s="7" t="n"/>
      <c r="H12" s="26" t="n"/>
      <c r="I12" s="16" t="n"/>
      <c r="J12" s="17" t="n"/>
    </row>
    <row r="13" ht="15.75" customHeight="1">
      <c r="A13" s="33" t="inlineStr">
        <is>
          <t>7) Productividad.</t>
        </is>
      </c>
      <c r="B13" s="33" t="n"/>
      <c r="C13" s="33" t="n"/>
      <c r="D13" s="21" t="n"/>
      <c r="E13" s="20" t="inlineStr">
        <is>
          <t>Utilidad neta/ventas totales * 100.</t>
        </is>
      </c>
      <c r="F13" s="20" t="n"/>
      <c r="G13" s="20" t="n"/>
      <c r="H13" s="26" t="n"/>
      <c r="I13" s="24" t="n"/>
      <c r="J13" s="27" t="n"/>
      <c r="K13" s="10" t="n"/>
    </row>
    <row r="14" ht="15.75" customHeight="1">
      <c r="A14" s="33" t="inlineStr">
        <is>
          <t>8) Costo de ventas/ventas totales.</t>
        </is>
      </c>
      <c r="B14" s="33" t="n"/>
      <c r="C14" s="33" t="n"/>
      <c r="D14" s="21" t="n"/>
      <c r="E14" s="20" t="inlineStr">
        <is>
          <t>(Costo de venta/ventas totales) * 100.</t>
        </is>
      </c>
      <c r="F14" s="20" t="n"/>
      <c r="G14" s="20" t="n"/>
      <c r="H14" s="26" t="n"/>
      <c r="I14" s="25" t="n"/>
      <c r="J14" s="27" t="n"/>
      <c r="K14" s="10" t="n"/>
    </row>
    <row r="15" ht="15.75" customHeight="1">
      <c r="A15" s="8" t="inlineStr">
        <is>
          <t>RAZONES DE APALANCAMIENTO</t>
        </is>
      </c>
      <c r="B15" s="5" t="n"/>
      <c r="C15" s="5" t="n"/>
      <c r="D15" s="5" t="n"/>
      <c r="E15" s="7" t="n"/>
      <c r="F15" s="7" t="n"/>
      <c r="G15" s="7" t="n"/>
      <c r="H15" s="26" t="n"/>
      <c r="I15" s="17" t="n"/>
      <c r="J15" s="18" t="n"/>
    </row>
    <row r="16" ht="15.75" customHeight="1">
      <c r="A16" s="20" t="inlineStr">
        <is>
          <t>9) Apalancamiento.</t>
        </is>
      </c>
      <c r="B16" s="20" t="n"/>
      <c r="C16" s="20" t="n"/>
      <c r="D16" s="21" t="n"/>
      <c r="E16" s="20" t="inlineStr">
        <is>
          <t>Pasivo total/Activo total.</t>
        </is>
      </c>
      <c r="F16" s="20" t="n"/>
      <c r="G16" s="20" t="n"/>
      <c r="H16" s="26" t="n"/>
      <c r="I16" s="24" t="n"/>
      <c r="J16" s="27" t="n"/>
      <c r="K16" s="10" t="n"/>
    </row>
    <row r="17" ht="15.75" customHeight="1">
      <c r="A17" s="20" t="inlineStr">
        <is>
          <t>10) Capacidad de endeudamiento.</t>
        </is>
      </c>
      <c r="B17" s="20" t="n"/>
      <c r="C17" s="20" t="n"/>
      <c r="D17" s="21" t="n"/>
      <c r="E17" s="20" t="inlineStr">
        <is>
          <t>Pasivo total/capital contable.</t>
        </is>
      </c>
      <c r="F17" s="20" t="n"/>
      <c r="G17" s="20" t="n"/>
      <c r="H17" s="26" t="n"/>
      <c r="I17" s="24" t="n"/>
      <c r="J17" s="28" t="n"/>
      <c r="K17" s="10" t="n"/>
    </row>
    <row r="18" ht="15.75" customHeight="1">
      <c r="A18" s="8" t="inlineStr">
        <is>
          <t>RAZONES DE SOLVENCIA</t>
        </is>
      </c>
      <c r="B18" s="7" t="n"/>
      <c r="C18" s="7" t="n"/>
      <c r="D18" s="5" t="n"/>
      <c r="E18" s="7" t="n"/>
      <c r="F18" s="7" t="n"/>
      <c r="G18" s="7" t="n"/>
      <c r="H18" s="26" t="n"/>
      <c r="I18" s="17" t="n"/>
      <c r="J18" s="17" t="n"/>
    </row>
    <row r="19" ht="15.75" customHeight="1">
      <c r="A19" s="20" t="inlineStr">
        <is>
          <t>11) Solvencia total.</t>
        </is>
      </c>
      <c r="B19" s="20" t="n"/>
      <c r="C19" s="20" t="n"/>
      <c r="D19" s="21" t="n"/>
      <c r="E19" s="20" t="inlineStr">
        <is>
          <t>Activo total/Pasivo total.</t>
        </is>
      </c>
      <c r="F19" s="20" t="n"/>
      <c r="G19" s="20" t="n"/>
      <c r="H19" s="26" t="n"/>
      <c r="I19" s="24" t="n"/>
      <c r="J19" s="27" t="n"/>
      <c r="K19" s="10" t="n"/>
    </row>
    <row r="20" ht="15.75" customHeight="1">
      <c r="A20" s="20" t="inlineStr">
        <is>
          <t>12) Solvencia.</t>
        </is>
      </c>
      <c r="B20" s="20" t="n"/>
      <c r="C20" s="20" t="n"/>
      <c r="D20" s="21" t="n"/>
      <c r="E20" s="20" t="inlineStr">
        <is>
          <t>Activo circulante/Pasivo total.</t>
        </is>
      </c>
      <c r="F20" s="20" t="n"/>
      <c r="G20" s="20" t="n"/>
      <c r="H20" s="26" t="n"/>
      <c r="I20" s="24" t="n"/>
      <c r="J20" s="27" t="n"/>
      <c r="K20" s="10" t="n"/>
    </row>
    <row r="21" ht="15.75" customHeight="1">
      <c r="A21" s="20" t="inlineStr">
        <is>
          <t>13) Liquidez.</t>
        </is>
      </c>
      <c r="B21" s="20" t="n"/>
      <c r="C21" s="20" t="n"/>
      <c r="D21" s="21" t="n"/>
      <c r="E21" s="20" t="inlineStr">
        <is>
          <t>Caja y bancos/pasivo total.</t>
        </is>
      </c>
      <c r="F21" s="20" t="n"/>
      <c r="G21" s="20" t="n"/>
      <c r="H21" s="26" t="n"/>
      <c r="I21" s="29" t="n"/>
      <c r="J21" s="27" t="n"/>
      <c r="K21" s="30" t="n"/>
    </row>
    <row r="22">
      <c r="A22" s="20" t="inlineStr">
        <is>
          <t>14) Prueba rápida o del ácido.</t>
        </is>
      </c>
      <c r="B22" s="22" t="n"/>
      <c r="C22" s="22" t="n"/>
      <c r="D22" s="10" t="n"/>
      <c r="E22" s="20" t="inlineStr">
        <is>
          <t>(Activo circulante menos inventario)/pasivo total.</t>
        </is>
      </c>
      <c r="F22" s="20" t="n"/>
      <c r="G22" s="20" t="n"/>
      <c r="H22" s="26" t="n"/>
      <c r="I22" s="31" t="n"/>
      <c r="J22" s="27" t="n"/>
      <c r="K22" s="30" t="n"/>
    </row>
    <row r="23">
      <c r="H23" s="19" t="n"/>
      <c r="I23" s="19" t="n"/>
    </row>
    <row r="24">
      <c r="A24" t="inlineStr">
        <is>
          <t xml:space="preserve">                                                            BALANCE GENERAL AL 31 DE DICIEMBRE DE 2023</t>
        </is>
      </c>
    </row>
    <row r="25">
      <c r="A25" t="inlineStr">
        <is>
          <t xml:space="preserve">                                                             “PROVEEDORA DE MUEBLES, S.A. DE C.V.”</t>
        </is>
      </c>
    </row>
    <row r="26">
      <c r="A26" s="1" t="inlineStr">
        <is>
          <t>ACTIVO                                                                                                                         PASI VO</t>
        </is>
      </c>
    </row>
    <row r="27">
      <c r="A27" s="1" t="inlineStr">
        <is>
          <t>CIRCULANTE                                                                                                            A CORTO PLAZO</t>
        </is>
      </c>
    </row>
    <row r="28">
      <c r="A28" t="inlineStr">
        <is>
          <t>Caja y bancos                                                      $ 50 000.00                              Proveedores                                                      $ 800 000.00</t>
        </is>
      </c>
    </row>
    <row r="29">
      <c r="A29" t="inlineStr">
        <is>
          <t>Inventarios                                                         $ 650 000.00                              Acreedores                                                        $ 925 000.00</t>
        </is>
      </c>
      <c r="D29" s="11" t="n"/>
    </row>
    <row r="30">
      <c r="A30" t="inlineStr">
        <is>
          <t>Cuentas por cobrar                                          $ 750 000.00                              Préstamo bancario                                         $   50 000.00</t>
        </is>
      </c>
      <c r="D30" s="2" t="n"/>
      <c r="E30" s="2" t="n"/>
    </row>
    <row r="31">
      <c r="A31" s="1" t="inlineStr">
        <is>
          <t>TOTAL CIRCULANTE                                     $ 1 450 000.00                              TOTAL CORTO PLAZO                                 $ 1 775 000.00</t>
        </is>
      </c>
      <c r="D31" s="1" t="n"/>
    </row>
    <row r="32">
      <c r="A32" s="1" t="inlineStr">
        <is>
          <t>ACTIVO                                                                                                                                                                        PASIVO LARGO PLAZO</t>
        </is>
      </c>
    </row>
    <row r="33">
      <c r="A33" s="1" t="inlineStr">
        <is>
          <t>FIJO                                                                                                                            Préstamo bancario                                       $ 100 000.00</t>
        </is>
      </c>
    </row>
    <row r="34">
      <c r="A34" t="inlineStr">
        <is>
          <t>Terreno                                                            $ 1 000 000.00                               TOTAL LARGO PLAZO                                   $ 100 000.00</t>
        </is>
      </c>
    </row>
    <row r="35">
      <c r="A35" t="inlineStr">
        <is>
          <t>Inmueble                                                         $ 3 000 000.00                             TOTAL PASI VO                                              $ 1 875 000.00</t>
        </is>
      </c>
    </row>
    <row r="36">
      <c r="A36" t="inlineStr">
        <is>
          <t>Depreciación acumul.                                  $  (150 000.00)</t>
        </is>
      </c>
      <c r="B36" s="1" t="n"/>
    </row>
    <row r="37">
      <c r="A37" t="inlineStr">
        <is>
          <t>Equipo de transporte                                   $    200 000.00</t>
        </is>
      </c>
    </row>
    <row r="38">
      <c r="A38" t="inlineStr">
        <is>
          <t>Depreciación acumul.                                $    (  50 000.00)                            CAPITAL CONTABL E</t>
        </is>
      </c>
    </row>
    <row r="39">
      <c r="A39" t="inlineStr">
        <is>
          <t>Equipo de oficina                                         $    100 000.00                            CAPITAL SOCIAL                                              $ 1 302 000.00</t>
        </is>
      </c>
    </row>
    <row r="40">
      <c r="A40" t="inlineStr">
        <is>
          <t>Depreciación acumul.                                 $    (10 000.00)                            Utilidad del ejercicio                                      $ 2 163 000.00</t>
        </is>
      </c>
    </row>
    <row r="41">
      <c r="A41" t="inlineStr">
        <is>
          <t>Maquinaria                                                     $ 2 000 000.00                             Utilidades acumuladas                                $ 2 000 000.00</t>
        </is>
      </c>
    </row>
    <row r="42">
      <c r="A42" t="inlineStr">
        <is>
          <t>Depreciación acumul.                                 $  (200 000.00)</t>
        </is>
      </c>
      <c r="B42" s="1" t="n"/>
      <c r="D42" s="2" t="n"/>
      <c r="E42" s="2" t="n"/>
    </row>
    <row r="43">
      <c r="A43" s="1" t="inlineStr">
        <is>
          <t>TOTAL FIJO                                                  $  5 890 000.00                            TOTAL CAPITAL CONTA BLE                        $ 5 465 000.00</t>
        </is>
      </c>
      <c r="B43" s="1" t="n"/>
      <c r="E43" s="3" t="n"/>
    </row>
    <row r="44" ht="15.75" customHeight="1" thickBot="1">
      <c r="A44" s="1" t="inlineStr">
        <is>
          <t>TOTAL ACTIVO                                           $  7 340 000.00                                     TOTAL PASI VO + CAPITAL                  $ 7 340 000.00</t>
        </is>
      </c>
      <c r="D44" s="4" t="n"/>
      <c r="E44" s="32" t="n"/>
    </row>
    <row r="45" ht="15.75" customHeight="1" thickTop="1">
      <c r="A45" s="1" t="n"/>
      <c r="B45" t="inlineStr">
        <is>
          <t xml:space="preserve"> </t>
        </is>
      </c>
    </row>
    <row r="46">
      <c r="D46" s="12" t="n"/>
    </row>
    <row r="48">
      <c r="A48" s="1" t="inlineStr">
        <is>
          <t>ESTA DO DE RESULTA DOS DEL 1 DE ENERO AL 31 DE DICIEMBRE DE 2023</t>
        </is>
      </c>
    </row>
    <row r="49">
      <c r="A49" s="1" t="inlineStr">
        <is>
          <t>Ventas                                                                                            $ 10 000 000.00</t>
        </is>
      </c>
    </row>
    <row r="50">
      <c r="A50" t="inlineStr">
        <is>
          <t>Costo de ventas                                                                            $   5 500 000.00</t>
        </is>
      </c>
    </row>
    <row r="51">
      <c r="A51" t="inlineStr">
        <is>
          <t>Utilidad bruta                                                                                $   4 500 000.00</t>
        </is>
      </c>
    </row>
    <row r="52">
      <c r="A52" t="inlineStr">
        <is>
          <t>Gastos fijos                                                                                    $      500 000.00</t>
        </is>
      </c>
    </row>
    <row r="53">
      <c r="A53" t="inlineStr">
        <is>
          <t>Gastos de operación                                                                    $      500 000.00</t>
        </is>
      </c>
    </row>
    <row r="54">
      <c r="A54" t="inlineStr">
        <is>
          <t>Depreciación                                                                                 $      410 000.00</t>
        </is>
      </c>
    </row>
    <row r="55">
      <c r="A55" t="inlineStr">
        <is>
          <t>Utilidad en operación                                                                 $   3 090 000.00</t>
        </is>
      </c>
    </row>
    <row r="56">
      <c r="A56" t="inlineStr">
        <is>
          <t>Impuestos (30%)                                                                          $      927 000.00</t>
        </is>
      </c>
    </row>
    <row r="57">
      <c r="A57" s="1" t="inlineStr">
        <is>
          <t>UTILIDAD NETA                                                                           $   2 163 000.00</t>
        </is>
      </c>
    </row>
  </sheetData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  <col width="16" customWidth="1" min="4" max="4"/>
  </cols>
  <sheetData>
    <row r="1">
      <c r="A1" s="34" t="inlineStr">
        <is>
          <t>BALANCE GENERAL AL 31 DE DICIEMBRE DE 2023</t>
        </is>
      </c>
    </row>
    <row r="2">
      <c r="A2" s="35" t="inlineStr">
        <is>
          <t>PROVEEDORA DE MUEBLES, S.A. DE C.V.</t>
        </is>
      </c>
    </row>
    <row r="4">
      <c r="A4" s="36" t="inlineStr">
        <is>
          <t>ACTIVO</t>
        </is>
      </c>
      <c r="B4" s="36" t="inlineStr">
        <is>
          <t>IMPORTE</t>
        </is>
      </c>
      <c r="C4" s="36" t="inlineStr">
        <is>
          <t>PASIVO Y CAPITAL</t>
        </is>
      </c>
      <c r="D4" s="36" t="inlineStr">
        <is>
          <t>IMPORTE</t>
        </is>
      </c>
    </row>
    <row r="5">
      <c r="A5" s="37" t="inlineStr">
        <is>
          <t>CIRCULANTE</t>
        </is>
      </c>
      <c r="B5" s="38" t="n"/>
      <c r="C5" s="37" t="inlineStr">
        <is>
          <t>A CORTO PLAZO</t>
        </is>
      </c>
      <c r="D5" s="38" t="n"/>
    </row>
    <row r="6">
      <c r="A6" s="38" t="inlineStr">
        <is>
          <t>Caja y bancos</t>
        </is>
      </c>
      <c r="B6" s="39" t="n">
        <v>50000</v>
      </c>
      <c r="C6" s="38" t="inlineStr">
        <is>
          <t>Proveedores</t>
        </is>
      </c>
      <c r="D6" s="39" t="n">
        <v>800000</v>
      </c>
    </row>
    <row r="7">
      <c r="A7" s="38" t="inlineStr">
        <is>
          <t>Inventarios</t>
        </is>
      </c>
      <c r="B7" s="39" t="n">
        <v>650000</v>
      </c>
      <c r="C7" s="38" t="inlineStr">
        <is>
          <t>Acreedores</t>
        </is>
      </c>
      <c r="D7" s="39" t="n">
        <v>925000</v>
      </c>
    </row>
    <row r="8">
      <c r="A8" s="38" t="inlineStr">
        <is>
          <t>Cuentas por cobrar</t>
        </is>
      </c>
      <c r="B8" s="39" t="n">
        <v>750000</v>
      </c>
      <c r="C8" s="38" t="inlineStr">
        <is>
          <t>Préstamo bancario</t>
        </is>
      </c>
      <c r="D8" s="39" t="n">
        <v>50000</v>
      </c>
    </row>
    <row r="9">
      <c r="A9" s="40" t="inlineStr">
        <is>
          <t>TOTAL CIRCULANTE</t>
        </is>
      </c>
      <c r="B9" s="41" t="n">
        <v>1450000</v>
      </c>
      <c r="C9" s="40" t="inlineStr">
        <is>
          <t>TOTAL CORTO PLAZO</t>
        </is>
      </c>
      <c r="D9" s="41" t="n">
        <v>1775000</v>
      </c>
    </row>
    <row r="10">
      <c r="A10" s="37" t="inlineStr">
        <is>
          <t>ACTIVO FIJO</t>
        </is>
      </c>
      <c r="B10" s="38" t="n"/>
      <c r="C10" s="37" t="inlineStr">
        <is>
          <t>PASIVO LARGO PLAZO</t>
        </is>
      </c>
      <c r="D10" s="38" t="n"/>
    </row>
    <row r="11">
      <c r="A11" s="38" t="inlineStr">
        <is>
          <t>Terreno</t>
        </is>
      </c>
      <c r="B11" s="39" t="n">
        <v>1000000</v>
      </c>
      <c r="C11" s="38" t="inlineStr">
        <is>
          <t>Préstamo bancario</t>
        </is>
      </c>
      <c r="D11" s="39" t="n">
        <v>100000</v>
      </c>
    </row>
    <row r="12">
      <c r="A12" s="38" t="inlineStr">
        <is>
          <t>Inmueble</t>
        </is>
      </c>
      <c r="B12" s="39" t="n">
        <v>3000000</v>
      </c>
      <c r="C12" s="40" t="inlineStr">
        <is>
          <t>TOTAL LARGO PLAZO</t>
        </is>
      </c>
      <c r="D12" s="41" t="n">
        <v>100000</v>
      </c>
    </row>
    <row r="13">
      <c r="A13" s="38" t="inlineStr">
        <is>
          <t>Depreciación acumulada</t>
        </is>
      </c>
      <c r="B13" s="39" t="n">
        <v>-150000</v>
      </c>
      <c r="C13" s="40" t="inlineStr">
        <is>
          <t>TOTAL PASIVO</t>
        </is>
      </c>
      <c r="D13" s="41" t="n">
        <v>1875000</v>
      </c>
    </row>
    <row r="14">
      <c r="A14" s="37" t="inlineStr">
        <is>
          <t>Equipo de transporte</t>
        </is>
      </c>
      <c r="B14" s="42" t="n">
        <v>200000</v>
      </c>
      <c r="C14" s="37" t="inlineStr">
        <is>
          <t>CAPITAL CONTABLE</t>
        </is>
      </c>
      <c r="D14" s="38" t="n"/>
    </row>
    <row r="15">
      <c r="A15" s="38" t="inlineStr">
        <is>
          <t>Depreciación acumulada</t>
        </is>
      </c>
      <c r="B15" s="39" t="n">
        <v>-50000</v>
      </c>
      <c r="C15" s="38" t="inlineStr">
        <is>
          <t>Capital social</t>
        </is>
      </c>
      <c r="D15" s="39" t="n">
        <v>1302000</v>
      </c>
    </row>
    <row r="16">
      <c r="A16" s="38" t="inlineStr">
        <is>
          <t>Equipo de oficina</t>
        </is>
      </c>
      <c r="B16" s="39" t="n">
        <v>100000</v>
      </c>
      <c r="C16" s="38" t="inlineStr">
        <is>
          <t>Utilidad del ejercicio</t>
        </is>
      </c>
      <c r="D16" s="39" t="n">
        <v>2163000</v>
      </c>
    </row>
    <row r="17">
      <c r="A17" s="38" t="inlineStr">
        <is>
          <t>Depreciación acumulada</t>
        </is>
      </c>
      <c r="B17" s="39" t="n">
        <v>-10000</v>
      </c>
      <c r="C17" s="38" t="inlineStr">
        <is>
          <t>Utilidades acumuladas</t>
        </is>
      </c>
      <c r="D17" s="39" t="n">
        <v>2000000</v>
      </c>
    </row>
    <row r="18">
      <c r="A18" s="38" t="inlineStr">
        <is>
          <t>Maquinaria</t>
        </is>
      </c>
      <c r="B18" s="39" t="n">
        <v>2000000</v>
      </c>
      <c r="C18" s="40" t="inlineStr">
        <is>
          <t>TOTAL CAPITAL CONTABLE</t>
        </is>
      </c>
      <c r="D18" s="41" t="n">
        <v>5465000</v>
      </c>
    </row>
    <row r="19">
      <c r="A19" s="38" t="inlineStr">
        <is>
          <t>Depreciación acumulada</t>
        </is>
      </c>
      <c r="B19" s="39" t="n">
        <v>-200000</v>
      </c>
      <c r="C19" s="38" t="n"/>
      <c r="D19" s="38" t="n"/>
    </row>
    <row r="20">
      <c r="A20" s="40" t="inlineStr">
        <is>
          <t>TOTAL FIJO</t>
        </is>
      </c>
      <c r="B20" s="41" t="n">
        <v>5890000</v>
      </c>
      <c r="C20" s="38" t="n"/>
      <c r="D20" s="38" t="n"/>
    </row>
    <row r="21">
      <c r="A21" s="40" t="inlineStr">
        <is>
          <t>TOTAL ACTIVO</t>
        </is>
      </c>
      <c r="B21" s="41" t="n">
        <v>7340000</v>
      </c>
      <c r="C21" s="40" t="inlineStr">
        <is>
          <t>TOTAL PASIVO + CAPITAL</t>
        </is>
      </c>
      <c r="D21" s="41" t="n">
        <v>7340000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34" t="inlineStr">
        <is>
          <t>ESTADO DE RESULTADOS DEL 1 DE ENERO AL 31 DE DICIEMBRE DE 2023</t>
        </is>
      </c>
    </row>
    <row r="2">
      <c r="A2" s="35" t="inlineStr">
        <is>
          <t>PROVEEDORA DE MUEBLES, S.A. DE C.V.</t>
        </is>
      </c>
    </row>
    <row r="4">
      <c r="A4" s="36" t="inlineStr">
        <is>
          <t>CONCEPTO</t>
        </is>
      </c>
      <c r="B4" s="36" t="inlineStr">
        <is>
          <t>IMPORTE</t>
        </is>
      </c>
    </row>
    <row r="5">
      <c r="A5" s="38" t="inlineStr">
        <is>
          <t>Ventas</t>
        </is>
      </c>
      <c r="B5" s="39" t="n">
        <v>10000000</v>
      </c>
    </row>
    <row r="6">
      <c r="A6" s="38" t="inlineStr">
        <is>
          <t>Costo de ventas</t>
        </is>
      </c>
      <c r="B6" s="39" t="n">
        <v>5500000</v>
      </c>
    </row>
    <row r="7">
      <c r="A7" s="40" t="inlineStr">
        <is>
          <t>Utilidad bruta</t>
        </is>
      </c>
      <c r="B7" s="41" t="n">
        <v>4500000</v>
      </c>
    </row>
    <row r="8">
      <c r="A8" s="38" t="inlineStr">
        <is>
          <t>Gastos fijos</t>
        </is>
      </c>
      <c r="B8" s="39" t="n">
        <v>500000</v>
      </c>
    </row>
    <row r="9">
      <c r="A9" s="38" t="inlineStr">
        <is>
          <t>Gastos de operación</t>
        </is>
      </c>
      <c r="B9" s="39" t="n">
        <v>500000</v>
      </c>
    </row>
    <row r="10">
      <c r="A10" s="38" t="inlineStr">
        <is>
          <t>Depreciación</t>
        </is>
      </c>
      <c r="B10" s="39" t="n">
        <v>410000</v>
      </c>
    </row>
    <row r="11">
      <c r="A11" s="40" t="inlineStr">
        <is>
          <t>Utilidad en operación</t>
        </is>
      </c>
      <c r="B11" s="41" t="n">
        <v>3090000</v>
      </c>
    </row>
    <row r="12">
      <c r="A12" s="38" t="inlineStr">
        <is>
          <t>Impuestos (30%)</t>
        </is>
      </c>
      <c r="B12" s="39" t="n">
        <v>927000</v>
      </c>
    </row>
    <row r="13">
      <c r="A13" s="40" t="inlineStr">
        <is>
          <t>UTILIDAD NETA</t>
        </is>
      </c>
      <c r="B13" s="41" t="n">
        <v>2163000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Evelio Marfil</dc:creator>
  <dcterms:created xmlns:dcterms="http://purl.org/dc/terms/" xmlns:xsi="http://www.w3.org/2001/XMLSchema-instance" xsi:type="dcterms:W3CDTF">2012-06-13T14:12:16Z</dcterms:created>
  <dcterms:modified xmlns:dcterms="http://purl.org/dc/terms/" xmlns:xsi="http://www.w3.org/2001/XMLSchema-instance" xsi:type="dcterms:W3CDTF">2026-04-03T03:28:43Z</dcterms:modified>
  <cp:lastModifiedBy>Raul Ruelas</cp:lastModifiedBy>
  <cp:lastPrinted>2012-06-25T19:59:12Z</cp:lastPrinted>
</cp:coreProperties>
</file>